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6bbca7832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blecimientos" sheetId="1" r:id="R5caff70ddb0e4ec2"/>
    <x:sheet xmlns:r="http://schemas.openxmlformats.org/officeDocument/2006/relationships" name="Resumen" sheetId="2" r:id="Rb9ace2fb0aa146de"/>
    <x:sheet xmlns:r="http://schemas.openxmlformats.org/officeDocument/2006/relationships" name="Notas" sheetId="3" r:id="R9cae03254b5b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 #,##0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FFFFFF"/>
      <x:name val="Arial"/>
    </x:font>
    <x:font>
      <x:sz val="11"/>
      <x:name val="Arial"/>
    </x:font>
    <x:font>
      <x:b/>
      <x:sz val="16"/>
      <x:color rgb="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4B2E8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7cd1790054ebe" /><Relationship Type="http://schemas.openxmlformats.org/officeDocument/2006/relationships/theme" Target="/xl/theme/theme1.xml" Id="R0f78ec2188a74eaa" /><Relationship Type="http://schemas.openxmlformats.org/officeDocument/2006/relationships/sharedStrings" Target="/xl/sharedStrings.xml" Id="R4a2cb9ed05a0429f" /><Relationship Type="http://schemas.openxmlformats.org/officeDocument/2006/relationships/worksheet" Target="/xl/worksheets/sheet1.xml" Id="R5caff70ddb0e4ec2" /><Relationship Type="http://schemas.openxmlformats.org/officeDocument/2006/relationships/worksheet" Target="/xl/worksheets/sheet2.xml" Id="Rb9ace2fb0aa146de" /><Relationship Type="http://schemas.openxmlformats.org/officeDocument/2006/relationships/worksheet" Target="/xl/worksheets/sheet3.xml" Id="R9cae03254b5b43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41ea4db8a246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Número de establecimientos por categoría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Número de establecimientos</c:v>
          </c:tx>
          <c:cat>
            <c:strRef>
              <c:f>'Resumen'!$A$7:$A$9</c:f>
              <c:strCache>
                <c:ptCount val="0"/>
              </c:strCache>
            </c:strRef>
          </c:cat>
          <c:val>
            <c:numRef>
              <c:f>'Resumen'!$B$7:$B$9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41ea4db8a246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Establecimientos" displayName="TablaEstablecimientos" ref="A1:K66" headerRowCount="1">
  <x:tableColumns count="11">
    <x:tableColumn id="1" name="ID"/>
    <x:tableColumn id="2" name="Categoría"/>
    <x:tableColumn id="3" name="Nombre"/>
    <x:tableColumn id="4" name="Tipo de establecimiento"/>
    <x:tableColumn id="5" name="Dirección"/>
    <x:tableColumn id="6" name="Perfil ideal"/>
    <x:tableColumn id="7" name="Plan sugerido"/>
    <x:tableColumn id="8" name="Costo promedio estimado por persona (COP)"/>
    <x:tableColumn id="9" name="Rango costo"/>
    <x:tableColumn id="10" name="Observaciones"/>
    <x:tableColumn id="11" name="Fuent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6862de24bb45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6aac58fe90e48e2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28" hidden="0" customWidth="1"/>
    <x:col min="4" max="4" width="26" hidden="0" customWidth="1"/>
    <x:col min="5" max="5" width="28" hidden="0" customWidth="1"/>
    <x:col min="6" max="6" width="22" hidden="0" customWidth="1"/>
    <x:col min="7" max="7" width="45" hidden="0" customWidth="1"/>
    <x:col min="8" max="8" width="16" hidden="0" customWidth="1"/>
    <x:col min="9" max="9" width="18" hidden="0" customWidth="1"/>
    <x:col min="10" max="10" width="45" hidden="0" customWidth="1"/>
    <x:col min="11" max="11" width="54" hidden="0" customWidth="1"/>
    <x:col min="12" max="12" width="42" hidden="0" customWidth="1"/>
  </x:cols>
  <x:sheetData>
    <x:row r="1" ht="39.599998474121094" hidden="0" customHeight="1">
      <x:c r="A1" s="28" t="str">
        <x:v>ID</x:v>
      </x:c>
      <x:c r="B1" s="28" t="str">
        <x:v>Categoría</x:v>
      </x:c>
      <x:c r="C1" s="28" t="str">
        <x:v>Nombre</x:v>
      </x:c>
      <x:c r="D1" s="28" t="str">
        <x:v>Tipo de establecimiento</x:v>
      </x:c>
      <x:c r="E1" s="28" t="str">
        <x:v>Dirección</x:v>
      </x:c>
      <x:c r="F1" s="28" t="str">
        <x:v>Perfil ideal</x:v>
      </x:c>
      <x:c r="G1" s="28" t="str">
        <x:v>Plan sugerido</x:v>
      </x:c>
      <x:c r="H1" s="29" t="str">
        <x:v>Costo promedio estimado por persona (COP)</x:v>
      </x:c>
      <x:c r="I1" s="28" t="str">
        <x:v>Rango costo</x:v>
      </x:c>
      <x:c r="J1" s="28" t="str">
        <x:v>Observaciones</x:v>
      </x:c>
      <x:c r="K1" s="28" t="str">
        <x:v>Fuente URL</x:v>
      </x:c>
      <x:c r="L1" s="12" t="str">
        <x:v>Fuente dirección actualizada</x:v>
      </x:c>
    </x:row>
    <x:row r="2" ht="26.399999618530273" hidden="0" customHeight="1">
      <x:c r="A2" s="30" t="n">
        <x:v>1</x:v>
      </x:c>
      <x:c r="B2" s="30" t="str">
        <x:v>Galerías y talleres</x:v>
      </x:c>
      <x:c r="C2" s="30" t="str">
        <x:v>Adrian Ibañez Galeria</x:v>
      </x:c>
      <x:c r="D2" s="30" t="str">
        <x:v>Galería de arte contemporáneo</x:v>
      </x:c>
      <x:c r="E2" s="30" t="str">
        <x:v>Calle 72 A # 22-35</x:v>
      </x:c>
      <x:c r="F2" s="30" t="str">
        <x:v>Individual / Pareja</x:v>
      </x:c>
      <x:c r="G2" s="30" t="str">
        <x:v>Recorrer exposición actual y tomar fotos de arte contemporáneo.</x:v>
      </x:c>
      <x:c r="H2" s="31" t="n">
        <x:v>10000</x:v>
      </x:c>
      <x:c r="I2" s="30" t="str">
        <x:v>$0 - $20.000</x:v>
      </x:c>
      <x:c r="J2" s="30" t="str">
        <x:v>Costo estimado: entrada normalmente baja/gratuita; depende de exposición o evento.</x:v>
      </x:c>
      <x:c r="K2" s="30" t="str">
        <x:v>https://distritocreativosanfelipe.com/Detalle/2/galerias-espacios-y-talleres/1/adrian-ibanez-galeria/</x:v>
      </x:c>
    </x:row>
    <x:row r="3" ht="26.399999618530273" hidden="0" customHeight="1">
      <x:c r="A3" s="30" t="n">
        <x:v>2</x:v>
      </x:c>
      <x:c r="B3" s="30" t="str">
        <x:v>Galerías y talleres</x:v>
      </x:c>
      <x:c r="C3" s="30" t="str">
        <x:v>Galería Elvira Moreno</x:v>
      </x:c>
      <x:c r="D3" s="30" t="str">
        <x:v>Galería de arte</x:v>
      </x:c>
      <x:c r="E3" s="30" t="str">
        <x:v>Cra. 23 # 72A - 61</x:v>
      </x:c>
      <x:c r="F3" s="30" t="str">
        <x:v>Individual / Pareja</x:v>
      </x:c>
      <x:c r="G3" s="30" t="str">
        <x:v>Visita de galería para ver arte latinoamericano contemporáneo y moderno.</x:v>
      </x:c>
      <x:c r="H3" s="31" t="n">
        <x:v>10000</x:v>
      </x:c>
      <x:c r="I3" s="30" t="str">
        <x:v>$0 - $20.000</x:v>
      </x:c>
      <x:c r="J3" s="30" t="str">
        <x:v>Dirección tomada de la página de contacto de la galería; compra de obra no incluida.</x:v>
      </x:c>
      <x:c r="K3" s="30" t="str">
        <x:v>https://galeriaelviramoreno.com/es/contact/</x:v>
      </x:c>
    </x:row>
    <x:row r="4" ht="26.399999618530273" hidden="0" customHeight="1">
      <x:c r="A4" s="30" t="n">
        <x:v>3</x:v>
      </x:c>
      <x:c r="B4" s="30" t="str">
        <x:v>Galerías y talleres</x:v>
      </x:c>
      <x:c r="C4" s="30" t="str">
        <x:v>LGM Galería</x:v>
      </x:c>
      <x:c r="D4" s="30" t="str">
        <x:v>Galería de arte</x:v>
      </x:c>
      <x:c r="E4" s="30" t="str">
        <x:v>Calle 73 # 20C - 73</x:v>
      </x:c>
      <x:c r="F4" s="30" t="str">
        <x:v>Individual / Pareja</x:v>
      </x:c>
      <x:c r="G4" s="30" t="str">
        <x:v>Ver exposición curada y conocer artistas contemporáneos consolidados.</x:v>
      </x:c>
      <x:c r="H4" s="31" t="n">
        <x:v>10000</x:v>
      </x:c>
      <x:c r="I4" s="30" t="str">
        <x:v>$0 - $20.000</x:v>
      </x:c>
      <x:c r="J4" s="30" t="str">
        <x:v>Compra de arte no incluida; costo estimado para visita.</x:v>
      </x:c>
      <x:c r="K4" s="30" t="str">
        <x:v>https://distritocreativosanfelipe.com/Detalle/2/galerias-espacios-y-talleres/5/lgm-galeria/</x:v>
      </x:c>
    </x:row>
    <x:row r="5" ht="26.399999618530273" hidden="0" customHeight="1">
      <x:c r="A5" s="30" t="n">
        <x:v>4</x:v>
      </x:c>
      <x:c r="B5" s="30" t="str">
        <x:v>Galerías y talleres</x:v>
      </x:c>
      <x:c r="C5" s="30" t="str">
        <x:v>Sketch</x:v>
      </x:c>
      <x:c r="D5" s="30" t="str">
        <x:v>Galería de arte contemporáneo</x:v>
      </x:c>
      <x:c r="E5" s="30" t="str">
        <x:v>Carrera 23 # 77 - 41</x:v>
      </x:c>
      <x:c r="F5" s="30" t="str">
        <x:v>Individual / Pareja</x:v>
      </x:c>
      <x:c r="G5" s="30" t="str">
        <x:v>Recorrido por dibujo, instalación y exposiciones emergentes.</x:v>
      </x:c>
      <x:c r="H5" s="31" t="n">
        <x:v>10000</x:v>
      </x:c>
      <x:c r="I5" s="30" t="str">
        <x:v>$0 - $20.000</x:v>
      </x:c>
      <x:c r="J5" s="30" t="str">
        <x:v>Costo estimado para visita; talleres/eventos pueden variar.</x:v>
      </x:c>
      <x:c r="K5" s="30" t="str">
        <x:v>https://distritocreativosanfelipe.com/Detalle/2/galerias-espacios-y-talleres/6/sketch/</x:v>
      </x:c>
    </x:row>
    <x:row r="6" ht="26.399999618530273" hidden="0" customHeight="1">
      <x:c r="A6" s="30" t="n">
        <x:v>5</x:v>
      </x:c>
      <x:c r="B6" s="30" t="str">
        <x:v>Galerías y talleres</x:v>
      </x:c>
      <x:c r="C6" s="30" t="str">
        <x:v>Plural Nodo Cultural</x:v>
      </x:c>
      <x:c r="D6" s="30" t="str">
        <x:v>Nodo cultural / espacio artístico</x:v>
      </x:c>
      <x:c r="E6" s="30" t="str">
        <x:v>Calle 72A # 22 - 62</x:v>
      </x:c>
      <x:c r="F6" s="30" t="str">
        <x:v>Individual / Pareja</x:v>
      </x:c>
      <x:c r="G6" s="30" t="str">
        <x:v>Visita a proyectos de arte contemporáneo y espacios de inclusión cultural.</x:v>
      </x:c>
      <x:c r="H6" s="31" t="n">
        <x:v>10000</x:v>
      </x:c>
      <x:c r="I6" s="30" t="str">
        <x:v>$0 - $20.000</x:v>
      </x:c>
      <x:c r="J6" s="30" t="str">
        <x:v>Costo estimado; revisar agenda antes de visitar.</x:v>
      </x:c>
      <x:c r="K6" s="30" t="str">
        <x:v>https://distritocreativosanfelipe.com/Detalle/2/galerias-espacios-y-talleres/8/plural-nodo-cultural/</x:v>
      </x:c>
    </x:row>
    <x:row r="7" ht="26.399999618530273" hidden="0" customHeight="1">
      <x:c r="A7" s="30" t="n">
        <x:v>6</x:v>
      </x:c>
      <x:c r="B7" s="30" t="str">
        <x:v>Galerías y talleres</x:v>
      </x:c>
      <x:c r="C7" s="30" t="str">
        <x:v>Estudio 74</x:v>
      </x:c>
      <x:c r="D7" s="30" t="str">
        <x:v>Espacio cultural / galería</x:v>
      </x:c>
      <x:c r="E7" s="30" t="str">
        <x:v>Calle 74A # 20C - 75</x:v>
      </x:c>
      <x:c r="F7" s="30" t="str">
        <x:v>Individual / Pareja</x:v>
      </x:c>
      <x:c r="G7" s="30" t="str">
        <x:v>Exhibición, venta y formación en arte contemporáneo.</x:v>
      </x:c>
      <x:c r="H7" s="31" t="n">
        <x:v>15000</x:v>
      </x:c>
      <x:c r="I7" s="30" t="str">
        <x:v>$0 - $30.000</x:v>
      </x:c>
      <x:c r="J7" s="30" t="str">
        <x:v>Puede incluir eventos o formación; compra de obra no incluida.</x:v>
      </x:c>
      <x:c r="K7" s="30" t="str">
        <x:v>https://distritocreativosanfelipe.com/Detalle/2/galerias-espacios-y-talleres/40/estudio-74/</x:v>
      </x:c>
    </x:row>
    <x:row r="8" ht="39.599998474121094" hidden="0" customHeight="1">
      <x:c r="A8" s="30" t="n">
        <x:v>7</x:v>
      </x:c>
      <x:c r="B8" s="30" t="str">
        <x:v>Galerías y talleres</x:v>
      </x:c>
      <x:c r="C8" s="30" t="str">
        <x:v>El Infierno Galeria</x:v>
      </x:c>
      <x:c r="D8" s="30" t="str">
        <x:v>Galería de arte urbano</x:v>
      </x:c>
      <x:c r="E8" s="30" t="str">
        <x:v>Calle 74A #22-57</x:v>
      </x:c>
      <x:c r="F8" s="30" t="str">
        <x:v>Individual / Amigos</x:v>
      </x:c>
      <x:c r="G8" s="30" t="str">
        <x:v>Explorar arte urbano y propuestas alternativas.</x:v>
      </x:c>
      <x:c r="H8" s="31" t="n">
        <x:v>10000</x:v>
      </x:c>
      <x:c r="I8" s="30" t="str">
        <x:v>$0 - $20.000</x:v>
      </x:c>
      <x:c r="J8" s="30" t="str">
        <x:v>La fuente oficial no muestra dirección en la página consultada. Dirección actualizada/verificada con fuente complementaria.</x:v>
      </x:c>
      <x:c r="K8" s="30" t="str">
        <x:v>https://distritocreativosanfelipe.com/Detalle/2/galerias-espacios-y-talleres/41/el-infierno-galeria/</x:v>
      </x:c>
      <x:c r="L8" t="str">
        <x:v>https://www.instagram.com/p/Cr9OwdTgG8v/</x:v>
      </x:c>
    </x:row>
    <x:row r="9" ht="26.399999618530273" hidden="0" customHeight="1">
      <x:c r="A9" s="30" t="n">
        <x:v>8</x:v>
      </x:c>
      <x:c r="B9" s="30" t="str">
        <x:v>Galerías y talleres</x:v>
      </x:c>
      <x:c r="C9" s="30" t="str">
        <x:v>Espacio KB</x:v>
      </x:c>
      <x:c r="D9" s="30" t="str">
        <x:v>Espacio cultural + restaurante/bar</x:v>
      </x:c>
      <x:c r="E9" s="30" t="str">
        <x:v>Calle 74 No. 22-20</x:v>
      </x:c>
      <x:c r="F9" s="30" t="str">
        <x:v>Pareja / Amigos</x:v>
      </x:c>
      <x:c r="G9" s="30" t="str">
        <x:v>Ver exposición y complementar con comida o bebida en el espacio.</x:v>
      </x:c>
      <x:c r="H9" s="31" t="n">
        <x:v>30000</x:v>
      </x:c>
      <x:c r="I9" s="30" t="str">
        <x:v>$20.000 - $60.000</x:v>
      </x:c>
      <x:c r="J9" s="30" t="str">
        <x:v>Mezcla arte, eventos alternativos y oferta gastronómica.</x:v>
      </x:c>
      <x:c r="K9" s="30" t="str">
        <x:v>https://distritocreativosanfelipe.com/Detalle/2/galerias-espacios-y-talleres/42/espacio-kb/</x:v>
      </x:c>
    </x:row>
    <x:row r="10" ht="26.399999618530273" hidden="0" customHeight="1">
      <x:c r="A10" s="30" t="n">
        <x:v>9</x:v>
      </x:c>
      <x:c r="B10" s="30" t="str">
        <x:v>Galerías y talleres</x:v>
      </x:c>
      <x:c r="C10" s="30" t="str">
        <x:v>Casa Plástica</x:v>
      </x:c>
      <x:c r="D10" s="30" t="str">
        <x:v>Centro cultural / artes audiovisuales y escénicas</x:v>
      </x:c>
      <x:c r="E10" s="30" t="str">
        <x:v>Calle 75 A No. 22-24</x:v>
      </x:c>
      <x:c r="F10" s="30" t="str">
        <x:v>Familiar / Amigos</x:v>
      </x:c>
      <x:c r="G10" s="30" t="str">
        <x:v>Asistir a experiencias artísticas, audiovisuales o escénicas.</x:v>
      </x:c>
      <x:c r="H10" s="31" t="n">
        <x:v>25000</x:v>
      </x:c>
      <x:c r="I10" s="30" t="str">
        <x:v>$0 - $50.000</x:v>
      </x:c>
      <x:c r="J10" s="30" t="str">
        <x:v>Costo depende de programación, taller o evento.</x:v>
      </x:c>
      <x:c r="K10" s="30" t="str">
        <x:v>https://distritocreativosanfelipe.com/Detalle/2/galerias-espacios-y-talleres/43/casa-plastica/</x:v>
      </x:c>
    </x:row>
    <x:row r="11" ht="26.399999618530273" hidden="0" customHeight="1">
      <x:c r="A11" s="30" t="n">
        <x:v>10</x:v>
      </x:c>
      <x:c r="B11" s="30" t="str">
        <x:v>Galerías y talleres</x:v>
      </x:c>
      <x:c r="C11" s="30" t="str">
        <x:v>Gallery - Juanita Echeverry</x:v>
      </x:c>
      <x:c r="D11" s="30" t="str">
        <x:v>Galería / taller de artista</x:v>
      </x:c>
      <x:c r="E11" s="30" t="str">
        <x:v>Carrera 22 No 74-22</x:v>
      </x:c>
      <x:c r="F11" s="30" t="str">
        <x:v>Individual / Pareja</x:v>
      </x:c>
      <x:c r="G11" s="30" t="str">
        <x:v>Conocer obra en resina y arte de autor.</x:v>
      </x:c>
      <x:c r="H11" s="31" t="n">
        <x:v>10000</x:v>
      </x:c>
      <x:c r="I11" s="30" t="str">
        <x:v>$0 - $20.000</x:v>
      </x:c>
      <x:c r="J11" s="30" t="str">
        <x:v>Costo estimado para visita; compra de obra no incluida.</x:v>
      </x:c>
      <x:c r="K11" s="30" t="str">
        <x:v>https://distritocreativosanfelipe.com/Detalle/2/galerias-espacios-y-talleres/44/gallery-juanita-echeverry/</x:v>
      </x:c>
    </x:row>
    <x:row r="12" ht="26.399999618530273" hidden="0" customHeight="1">
      <x:c r="A12" s="30" t="n">
        <x:v>11</x:v>
      </x:c>
      <x:c r="B12" s="30" t="str">
        <x:v>Galerías y talleres</x:v>
      </x:c>
      <x:c r="C12" s="30" t="str">
        <x:v>Casa Valhalla</x:v>
      </x:c>
      <x:c r="D12" s="30" t="str">
        <x:v>Centro cultural / sala de eventos</x:v>
      </x:c>
      <x:c r="E12" s="30" t="str">
        <x:v>Carrera 22 # 74-31</x:v>
      </x:c>
      <x:c r="F12" s="30" t="str">
        <x:v>Pareja / Amigos</x:v>
      </x:c>
      <x:c r="G12" s="30" t="str">
        <x:v>Plan de arte en vivo, eventos, música y bebidas.</x:v>
      </x:c>
      <x:c r="H12" s="31" t="n">
        <x:v>35000</x:v>
      </x:c>
      <x:c r="I12" s="30" t="str">
        <x:v>$20.000 - $70.000</x:v>
      </x:c>
      <x:c r="J12" s="30" t="str">
        <x:v>Costo depende del evento y consumo.</x:v>
      </x:c>
      <x:c r="K12" s="30" t="str">
        <x:v>https://distritocreativosanfelipe.com/Detalle/2/galerias-espacios-y-talleres/45/casa-valhalla/</x:v>
      </x:c>
    </x:row>
    <x:row r="13" ht="26.399999618530273" hidden="0" customHeight="1">
      <x:c r="A13" s="30" t="n">
        <x:v>12</x:v>
      </x:c>
      <x:c r="B13" s="30" t="str">
        <x:v>Galerías y talleres</x:v>
      </x:c>
      <x:c r="C13" s="30" t="str">
        <x:v>Cùrcuma Art Center</x:v>
      </x:c>
      <x:c r="D13" s="30" t="str">
        <x:v>Centro de arte / incubadora creativa</x:v>
      </x:c>
      <x:c r="E13" s="30" t="str">
        <x:v>Calle 74A # 20C - 75</x:v>
      </x:c>
      <x:c r="F13" s="30" t="str">
        <x:v>Individual / Pareja</x:v>
      </x:c>
      <x:c r="G13" s="30" t="str">
        <x:v>Recorrer exposiciones de creadores emergentes.</x:v>
      </x:c>
      <x:c r="H13" s="31" t="n">
        <x:v>10000</x:v>
      </x:c>
      <x:c r="I13" s="30" t="str">
        <x:v>$0 - $20.000</x:v>
      </x:c>
      <x:c r="J13" s="30" t="str">
        <x:v>Costo estimado para visita; revisar programación.</x:v>
      </x:c>
      <x:c r="K13" s="30" t="str">
        <x:v>https://distritocreativosanfelipe.com/Detalle/2/galerias-espacios-y-talleres/47/curcuma-art-center/</x:v>
      </x:c>
    </x:row>
    <x:row r="14" ht="26.399999618530273" hidden="0" customHeight="1">
      <x:c r="A14" s="30" t="n">
        <x:v>13</x:v>
      </x:c>
      <x:c r="B14" s="30" t="str">
        <x:v>Galerías y talleres</x:v>
      </x:c>
      <x:c r="C14" s="30" t="str">
        <x:v>Firma de Arte</x:v>
      </x:c>
      <x:c r="D14" s="30" t="str">
        <x:v>Firma / comercialización de arte</x:v>
      </x:c>
      <x:c r="E14" s="30" t="str">
        <x:v>Calle 72 A # 22-58</x:v>
      </x:c>
      <x:c r="F14" s="30" t="str">
        <x:v>Individual / Pareja</x:v>
      </x:c>
      <x:c r="G14" s="30" t="str">
        <x:v>Explorar arte como inversión y piezas para colección.</x:v>
      </x:c>
      <x:c r="H14" s="31" t="n">
        <x:v>10000</x:v>
      </x:c>
      <x:c r="I14" s="30" t="str">
        <x:v>$0 - $20.000</x:v>
      </x:c>
      <x:c r="J14" s="30" t="str">
        <x:v>Compra de obra no incluida en costo promedio.</x:v>
      </x:c>
      <x:c r="K14" s="30" t="str">
        <x:v>https://distritocreativosanfelipe.com/Detalle/2/galerias-espacios-y-talleres/48/firma-de-arte/</x:v>
      </x:c>
    </x:row>
    <x:row r="15" ht="39.599998474121094" hidden="0" customHeight="1">
      <x:c r="A15" s="30" t="n">
        <x:v>14</x:v>
      </x:c>
      <x:c r="B15" s="30" t="str">
        <x:v>Galerías y talleres</x:v>
      </x:c>
      <x:c r="C15" s="30" t="str">
        <x:v>Enter</x:v>
      </x:c>
      <x:c r="D15" s="30" t="str">
        <x:v>Club de arte / galería / música</x:v>
      </x:c>
      <x:c r="E15" s="30" t="str">
        <x:v>Calle 75A #23-10</x:v>
      </x:c>
      <x:c r="F15" s="30" t="str">
        <x:v>Amigos / Pareja</x:v>
      </x:c>
      <x:c r="G15" s="30" t="str">
        <x:v>Plan nocturno de arte, música y experiencias alternativas.</x:v>
      </x:c>
      <x:c r="H15" s="31" t="n">
        <x:v>35000</x:v>
      </x:c>
      <x:c r="I15" s="30" t="str">
        <x:v>$20.000 - $70.000</x:v>
      </x:c>
      <x:c r="J15" s="30" t="str">
        <x:v>La fuente oficial no muestra dirección; costo depende de evento/consumo. Dirección actualizada/verificada con fuente complementaria.</x:v>
      </x:c>
      <x:c r="K15" s="30" t="str">
        <x:v>https://distritocreativosanfelipe.com/Detalle/2/galerias-espacios-y-talleres/50/enter/</x:v>
      </x:c>
      <x:c r="L15" t="str">
        <x:v>https://es.ra.co/events/2277472</x:v>
      </x:c>
    </x:row>
    <x:row r="16" ht="39.599998474121094" hidden="0" customHeight="1">
      <x:c r="A16" s="30" t="n">
        <x:v>15</x:v>
      </x:c>
      <x:c r="B16" s="30" t="str">
        <x:v>Galerías y talleres</x:v>
      </x:c>
      <x:c r="C16" s="30" t="str">
        <x:v>Proyecto Binario</x:v>
      </x:c>
      <x:c r="D16" s="30" t="str">
        <x:v>Productora / proyecto artístico</x:v>
      </x:c>
      <x:c r="E16" s="30" t="str">
        <x:v>Calle 72A #22-39</x:v>
      </x:c>
      <x:c r="F16" s="30" t="str">
        <x:v>Individual / Creativos</x:v>
      </x:c>
      <x:c r="G16" s="30" t="str">
        <x:v>Conectar con proyectos artísticos y producción cultural.</x:v>
      </x:c>
      <x:c r="H16" s="31" t="n">
        <x:v>10000</x:v>
      </x:c>
      <x:c r="I16" s="30" t="str">
        <x:v>$0 - $20.000</x:v>
      </x:c>
      <x:c r="J16" s="30" t="str">
        <x:v>La fuente oficial no muestra dirección específica. Dirección actualizada/verificada con fuente complementaria.</x:v>
      </x:c>
      <x:c r="K16" s="30" t="str">
        <x:v>https://distritocreativosanfelipe.com/Detalle/2/galerias-espacios-y-talleres/51/proyecto-binario/</x:v>
      </x:c>
      <x:c r="L16" t="str">
        <x:v>https://www.proyectobinario.com/contacto</x:v>
      </x:c>
    </x:row>
    <x:row r="17" ht="39.599998474121094" hidden="0" customHeight="1">
      <x:c r="A17" s="30" t="n">
        <x:v>16</x:v>
      </x:c>
      <x:c r="B17" s="30" t="str">
        <x:v>Galerías y talleres</x:v>
      </x:c>
      <x:c r="C17" s="30" t="str">
        <x:v>BEAT BOP</x:v>
      </x:c>
      <x:c r="D17" s="30" t="str">
        <x:v>Galería / proyecto de arte urbano</x:v>
      </x:c>
      <x:c r="E17" s="30" t="str">
        <x:v>Calle 75A #20C-12</x:v>
      </x:c>
      <x:c r="F17" s="30" t="str">
        <x:v>Individual / Amigos</x:v>
      </x:c>
      <x:c r="G17" s="30" t="str">
        <x:v>Arte contemporáneo y posible ruta de arte urbano Street Project.</x:v>
      </x:c>
      <x:c r="H17" s="31" t="n">
        <x:v>10000</x:v>
      </x:c>
      <x:c r="I17" s="30" t="str">
        <x:v>$0 - $20.000</x:v>
      </x:c>
      <x:c r="J17" s="30" t="str">
        <x:v>La fuente oficial no muestra dirección; revisar Instagram/proyecto antes de visitar. Dirección actualizada/verificada con fuente complementaria.</x:v>
      </x:c>
      <x:c r="K17" s="30" t="str">
        <x:v>https://distritocreativosanfelipe.com/Detalle/2/galerias-espacios-y-talleres/52/beat-bop/</x:v>
      </x:c>
      <x:c r="L17" t="str">
        <x:v>https://www.facebook.com/beatbopgallery/</x:v>
      </x:c>
    </x:row>
    <x:row r="18" ht="26.399999618530273" hidden="0" customHeight="1">
      <x:c r="A18" s="30" t="n">
        <x:v>17</x:v>
      </x:c>
      <x:c r="B18" s="30" t="str">
        <x:v>Galerías y talleres</x:v>
      </x:c>
      <x:c r="C18" s="30" t="str">
        <x:v>Proceso Art Gallery</x:v>
      </x:c>
      <x:c r="D18" s="30" t="str">
        <x:v>Galería de arte</x:v>
      </x:c>
      <x:c r="E18" s="30" t="str">
        <x:v>Carrera 23 #73-38</x:v>
      </x:c>
      <x:c r="F18" s="30" t="str">
        <x:v>Individual / Pareja</x:v>
      </x:c>
      <x:c r="G18" s="30" t="str">
        <x:v>Visita corta a espacio de exposición artística.</x:v>
      </x:c>
      <x:c r="H18" s="31" t="n">
        <x:v>10000</x:v>
      </x:c>
      <x:c r="I18" s="30" t="str">
        <x:v>$0 - $20.000</x:v>
      </x:c>
      <x:c r="J18" s="30" t="str">
        <x:v>La fuente oficial no muestra dirección. Dirección actualizada/verificada con fuente complementaria.</x:v>
      </x:c>
      <x:c r="K18" s="30" t="str">
        <x:v>https://distritocreativosanfelipe.com/Detalle/2/galerias-espacios-y-talleres/54/proceso-art-gallery/</x:v>
      </x:c>
      <x:c r="L18" t="str">
        <x:v>https://culturarecreacionydeporte.gov.co/es/eventos/una-velada-de-galerias-y-jazz-en-san-felipe</x:v>
      </x:c>
    </x:row>
    <x:row r="19" ht="26.399999618530273" hidden="0" customHeight="1">
      <x:c r="A19" s="30" t="n">
        <x:v>18</x:v>
      </x:c>
      <x:c r="B19" s="30" t="str">
        <x:v>Galerías y talleres</x:v>
      </x:c>
      <x:c r="C19" s="30" t="str">
        <x:v>Instituto De Vision</x:v>
      </x:c>
      <x:c r="D19" s="30" t="str">
        <x:v>Galería de arte conceptual</x:v>
      </x:c>
      <x:c r="E19" s="30" t="str">
        <x:v>Carrera 23 # 76-74</x:v>
      </x:c>
      <x:c r="F19" s="30" t="str">
        <x:v>Individual / Pareja</x:v>
      </x:c>
      <x:c r="G19" s="30" t="str">
        <x:v>Ver prácticas conceptuales latinoamericanas y exposiciones críticas.</x:v>
      </x:c>
      <x:c r="H19" s="31" t="n">
        <x:v>10000</x:v>
      </x:c>
      <x:c r="I19" s="30" t="str">
        <x:v>$0 - $20.000</x:v>
      </x:c>
      <x:c r="J19" s="30" t="str">
        <x:v>Costo estimado para visita; compra de obra no incluida.</x:v>
      </x:c>
      <x:c r="K19" s="30" t="str">
        <x:v>https://distritocreativosanfelipe.com/Detalle/2/galerias-espacios-y-talleres/58/instituto-de-vision/</x:v>
      </x:c>
    </x:row>
    <x:row r="20" ht="26.399999618530273" hidden="0" customHeight="1">
      <x:c r="A20" s="30" t="n">
        <x:v>19</x:v>
      </x:c>
      <x:c r="B20" s="30" t="str">
        <x:v>Galerías y talleres</x:v>
      </x:c>
      <x:c r="C20" s="30" t="str">
        <x:v>Galeria Akira Films</x:v>
      </x:c>
      <x:c r="D20" s="30" t="str">
        <x:v>Galería / cine / arte audiovisual</x:v>
      </x:c>
      <x:c r="E20" s="30" t="str">
        <x:v>Calle 74A #22-77</x:v>
      </x:c>
      <x:c r="F20" s="30" t="str">
        <x:v>Individual / Creativos</x:v>
      </x:c>
      <x:c r="G20" s="30" t="str">
        <x:v>Espacio para explorar arte audiovisual o cine creativo.</x:v>
      </x:c>
      <x:c r="H20" s="31" t="n">
        <x:v>10000</x:v>
      </x:c>
      <x:c r="I20" s="30" t="str">
        <x:v>$0 - $20.000</x:v>
      </x:c>
      <x:c r="J20" s="30" t="str">
        <x:v>La fuente oficial no muestra dirección. Dirección actualizada/verificada con fuente complementaria.</x:v>
      </x:c>
      <x:c r="K20" s="30" t="str">
        <x:v>https://distritocreativosanfelipe.com/Detalle/2/galerias-espacios-y-talleres/57/galeria-akira-films/</x:v>
      </x:c>
      <x:c r="L20" t="str">
        <x:v>https://www.facebook.com/akiracine/mentions/</x:v>
      </x:c>
    </x:row>
    <x:row r="21" ht="26.399999618530273" hidden="0" customHeight="1">
      <x:c r="A21" s="30" t="n">
        <x:v>20</x:v>
      </x:c>
      <x:c r="B21" s="30" t="str">
        <x:v>Galerías y talleres</x:v>
      </x:c>
      <x:c r="C21" s="30" t="str">
        <x:v>SGR GALERIA</x:v>
      </x:c>
      <x:c r="D21" s="30" t="str">
        <x:v>Galería de arte contemporáneo</x:v>
      </x:c>
      <x:c r="E21" s="30" t="str">
        <x:v>Carrera 24 # 77 - 55</x:v>
      </x:c>
      <x:c r="F21" s="30" t="str">
        <x:v>Individual / Pareja</x:v>
      </x:c>
      <x:c r="G21" s="30" t="str">
        <x:v>Recorrer exposiciones de arte contemporáneo latinoamericano.</x:v>
      </x:c>
      <x:c r="H21" s="31" t="n">
        <x:v>10000</x:v>
      </x:c>
      <x:c r="I21" s="30" t="str">
        <x:v>$0 - $20.000</x:v>
      </x:c>
      <x:c r="J21" s="30" t="str">
        <x:v>Costo estimado para visita; compra de obra no incluida.</x:v>
      </x:c>
      <x:c r="K21" s="30" t="str">
        <x:v>https://distritocreativosanfelipe.com/Detalle/2/galerias-espacios-y-talleres/59/sgr-galeria/</x:v>
      </x:c>
    </x:row>
    <x:row r="22" ht="26.399999618530273" hidden="0" customHeight="1">
      <x:c r="A22" s="30" t="n">
        <x:v>21</x:v>
      </x:c>
      <x:c r="B22" s="30" t="str">
        <x:v>Galerías y talleres</x:v>
      </x:c>
      <x:c r="C22" s="30" t="str">
        <x:v>Casa 4</x:v>
      </x:c>
      <x:c r="D22" s="30" t="str">
        <x:v>Espacio cultural</x:v>
      </x:c>
      <x:c r="E22" s="30" t="str">
        <x:v>Calle 75A #22-30</x:v>
      </x:c>
      <x:c r="F22" s="30" t="str">
        <x:v>Individual / Amigos</x:v>
      </x:c>
      <x:c r="G22" s="30" t="str">
        <x:v>Conocer espacio cultural creado para promover artes.</x:v>
      </x:c>
      <x:c r="H22" s="31" t="n">
        <x:v>10000</x:v>
      </x:c>
      <x:c r="I22" s="30" t="str">
        <x:v>$0 - $20.000</x:v>
      </x:c>
      <x:c r="J22" s="30" t="str">
        <x:v>La fuente oficial no muestra dirección. Dirección actualizada/verificada con fuente complementaria.</x:v>
      </x:c>
      <x:c r="K22" s="30" t="str">
        <x:v>https://distritocreativosanfelipe.com/Detalle/2/galerias-espacios-y-talleres/72/casa-4/</x:v>
      </x:c>
      <x:c r="L22" t="str">
        <x:v>https://www.alejandrofischer.com/nsf/open-san-felipe/</x:v>
      </x:c>
    </x:row>
    <x:row r="23" ht="26.399999618530273" hidden="0" customHeight="1">
      <x:c r="A23" s="30" t="n">
        <x:v>22</x:v>
      </x:c>
      <x:c r="B23" s="30" t="str">
        <x:v>Galerías y talleres</x:v>
      </x:c>
      <x:c r="C23" s="30" t="str">
        <x:v>Compacta</x:v>
      </x:c>
      <x:c r="D23" s="30" t="str">
        <x:v>Espacio artístico autogestionado</x:v>
      </x:c>
      <x:c r="E23" s="30" t="str">
        <x:v>Calle 75 #22-73</x:v>
      </x:c>
      <x:c r="F23" s="30" t="str">
        <x:v>Individual / Creativos</x:v>
      </x:c>
      <x:c r="G23" s="30" t="str">
        <x:v>Explorar prácticas artísticas en formato independiente.</x:v>
      </x:c>
      <x:c r="H23" s="31" t="n">
        <x:v>10000</x:v>
      </x:c>
      <x:c r="I23" s="30" t="str">
        <x:v>$0 - $20.000</x:v>
      </x:c>
      <x:c r="J23" s="30" t="str">
        <x:v>La fuente oficial no muestra dirección. Dirección actualizada/verificada con fuente complementaria.</x:v>
      </x:c>
      <x:c r="K23" s="30" t="str">
        <x:v>https://distritocreativosanfelipe.com/Detalle/2/galerias-espacios-y-talleres/73/compacta/</x:v>
      </x:c>
      <x:c r="L23" t="str">
        <x:v>https://www.instagram.com/p/C6MhmR2JFX4/</x:v>
      </x:c>
    </x:row>
    <x:row r="24" ht="26.399999618530273" hidden="0" customHeight="1">
      <x:c r="A24" s="30" t="n">
        <x:v>23</x:v>
      </x:c>
      <x:c r="B24" s="30" t="str">
        <x:v>Galerías y talleres</x:v>
      </x:c>
      <x:c r="C24" s="30" t="str">
        <x:v>LA ZINETECA</x:v>
      </x:c>
      <x:c r="D24" s="30" t="str">
        <x:v>Espacio autogestionado de creación</x:v>
      </x:c>
      <x:c r="E24" s="30" t="str">
        <x:v>Calle 73 # 20C - 38, oficina 302</x:v>
      </x:c>
      <x:c r="F24" s="30" t="str">
        <x:v>Individual / Creativos</x:v>
      </x:c>
      <x:c r="G24" s="30" t="str">
        <x:v>Ver proyectos artísticos autogestionados y de circulación cultural.</x:v>
      </x:c>
      <x:c r="H24" s="31" t="n">
        <x:v>10000</x:v>
      </x:c>
      <x:c r="I24" s="30" t="str">
        <x:v>$0 - $20.000</x:v>
      </x:c>
      <x:c r="J24" s="30" t="str">
        <x:v>Costo estimado; revisar programación.</x:v>
      </x:c>
      <x:c r="K24" s="30" t="str">
        <x:v>https://distritocreativosanfelipe.com/Detalle/2/galerias-espacios-y-talleres/125/la-zineteca/</x:v>
      </x:c>
    </x:row>
    <x:row r="25" ht="26.399999618530273" hidden="0" customHeight="1">
      <x:c r="A25" s="30" t="n">
        <x:v>24</x:v>
      </x:c>
      <x:c r="B25" s="30" t="str">
        <x:v>Galerías y talleres</x:v>
      </x:c>
      <x:c r="C25" s="30" t="str">
        <x:v>El Azulejo de San Felipe</x:v>
      </x:c>
      <x:c r="D25" s="30" t="str">
        <x:v>Espacio polivalente artístico</x:v>
      </x:c>
      <x:c r="E25" s="30" t="str">
        <x:v>Calle 78 # 22 - 61</x:v>
      </x:c>
      <x:c r="F25" s="30" t="str">
        <x:v>Familiar / Pareja</x:v>
      </x:c>
      <x:c r="G25" s="30" t="str">
        <x:v>Exposiciones, eventos y talleres artísticos.</x:v>
      </x:c>
      <x:c r="H25" s="31" t="n">
        <x:v>20000</x:v>
      </x:c>
      <x:c r="I25" s="30" t="str">
        <x:v>$0 - $50.000</x:v>
      </x:c>
      <x:c r="J25" s="30" t="str">
        <x:v>Costo depende de evento o taller.</x:v>
      </x:c>
      <x:c r="K25" s="30" t="str">
        <x:v>https://distritocreativosanfelipe.com/Detalle/2/galerias-espacios-y-talleres/161/el-azulejo-de-san-felipe/</x:v>
      </x:c>
    </x:row>
    <x:row r="26" ht="39.599998474121094" hidden="0" customHeight="1">
      <x:c r="A26" s="30" t="n">
        <x:v>25</x:v>
      </x:c>
      <x:c r="B26" s="30" t="str">
        <x:v>Galerías y talleres</x:v>
      </x:c>
      <x:c r="C26" s="30" t="str">
        <x:v>Casa EQP</x:v>
      </x:c>
      <x:c r="D26" s="30" t="str">
        <x:v>Espacio cultural</x:v>
      </x:c>
      <x:c r="E26" s="30" t="str">
        <x:v>Calle 74 No. 22-80</x:v>
      </x:c>
      <x:c r="F26" s="30" t="str">
        <x:v>Individual / Creativos</x:v>
      </x:c>
      <x:c r="G26" s="30" t="str">
        <x:v>Visita a espacio cultural del directorio San Felipe.</x:v>
      </x:c>
      <x:c r="H26" s="31" t="n">
        <x:v>10000</x:v>
      </x:c>
      <x:c r="I26" s="30" t="str">
        <x:v>$0 - $20.000</x:v>
      </x:c>
      <x:c r="J26" s="30" t="str">
        <x:v>La página oficial lo lista, pero no muestra dirección en la consulta. Dirección actualizada/verificada con fuente complementaria.</x:v>
      </x:c>
      <x:c r="K26" s="30" t="str">
        <x:v>https://distritocreativosanfelipe.com/Detalle/2/galerias-espacios-y-talleres/117/casa-eqp/</x:v>
      </x:c>
      <x:c r="L26" t="str">
        <x:v>https://distritocreativosanfelipe.com/Detalle/2/galerias-espacios-y-talleres/117/casa-eqp/</x:v>
      </x:c>
    </x:row>
    <x:row r="27" ht="26.399999618530273" hidden="0" customHeight="1">
      <x:c r="A27" s="30" t="n">
        <x:v>26</x:v>
      </x:c>
      <x:c r="B27" s="30" t="str">
        <x:v>Donde Comer</x:v>
      </x:c>
      <x:c r="C27" s="30" t="str">
        <x:v>Pizza Di Corleone</x:v>
      </x:c>
      <x:c r="D27" s="30" t="str">
        <x:v>Restaurante / pizza italiana</x:v>
      </x:c>
      <x:c r="E27" s="30" t="str">
        <x:v>Calle 75 # 22-20</x:v>
      </x:c>
      <x:c r="F27" s="30" t="str">
        <x:v>Familiar / Pareja</x:v>
      </x:c>
      <x:c r="G27" s="30" t="str">
        <x:v>Comer pizza de masa madurada después de recorrer galerías.</x:v>
      </x:c>
      <x:c r="H27" s="31" t="n">
        <x:v>40000</x:v>
      </x:c>
      <x:c r="I27" s="30" t="str">
        <x:v>$30.000 - $60.000</x:v>
      </x:c>
      <x:c r="J27" s="30" t="str">
        <x:v>Costo estimado por persona con bebida.</x:v>
      </x:c>
      <x:c r="K27" s="30" t="str">
        <x:v>https://distritocreativosanfelipe.com/Detalle/3/donde-comer/11/pizza-di-corleone/</x:v>
      </x:c>
    </x:row>
    <x:row r="28" ht="26.399999618530273" hidden="0" customHeight="1">
      <x:c r="A28" s="30" t="n">
        <x:v>27</x:v>
      </x:c>
      <x:c r="B28" s="30" t="str">
        <x:v>Donde Comer</x:v>
      </x:c>
      <x:c r="C28" s="30" t="str">
        <x:v>Ahumao cilindro Peruano</x:v>
      </x:c>
      <x:c r="D28" s="30" t="str">
        <x:v>Restaurante peruano / sanguchería</x:v>
      </x:c>
      <x:c r="E28" s="30" t="str">
        <x:v>Cra 22 #75-33</x:v>
      </x:c>
      <x:c r="F28" s="30" t="str">
        <x:v>Amigos / Familiar</x:v>
      </x:c>
      <x:c r="G28" s="30" t="str">
        <x:v>Probar sanguches criollos, ceviches y platos peruanos.</x:v>
      </x:c>
      <x:c r="H28" s="31" t="n">
        <x:v>40000</x:v>
      </x:c>
      <x:c r="I28" s="30" t="str">
        <x:v>$30.000 - $60.000</x:v>
      </x:c>
      <x:c r="J28" s="30" t="str">
        <x:v>Costo estimado por persona.</x:v>
      </x:c>
      <x:c r="K28" s="30" t="str">
        <x:v>https://distritocreativosanfelipe.com/Detalle/3/donde-comer/12/ahumao-cilindro-peruano/</x:v>
      </x:c>
    </x:row>
    <x:row r="29" ht="26.399999618530273" hidden="0" customHeight="1">
      <x:c r="A29" s="30" t="n">
        <x:v>28</x:v>
      </x:c>
      <x:c r="B29" s="30" t="str">
        <x:v>Donde Comer</x:v>
      </x:c>
      <x:c r="C29" s="30" t="str">
        <x:v>La Merenderia</x:v>
      </x:c>
      <x:c r="D29" s="30" t="str">
        <x:v>Restaurante y pastelería</x:v>
      </x:c>
      <x:c r="E29" s="30" t="str">
        <x:v>Cra 22 # 75A - 42</x:v>
      </x:c>
      <x:c r="F29" s="30" t="str">
        <x:v>Familiar / Individual</x:v>
      </x:c>
      <x:c r="G29" s="30" t="str">
        <x:v>Almuerzo casero o merienda en ambiente acogedor.</x:v>
      </x:c>
      <x:c r="H29" s="31" t="n">
        <x:v>25000</x:v>
      </x:c>
      <x:c r="I29" s="30" t="str">
        <x:v>$18.000 - $40.000</x:v>
      </x:c>
      <x:c r="J29" s="30" t="str">
        <x:v>Costo estimado para almuerzo/merienda.</x:v>
      </x:c>
      <x:c r="K29" s="30" t="str">
        <x:v>https://distritocreativosanfelipe.com/Detalle/3/donde-comer/13/la-merenderia/</x:v>
      </x:c>
    </x:row>
    <x:row r="30" ht="26.399999618530273" hidden="0" customHeight="1">
      <x:c r="A30" s="30" t="n">
        <x:v>29</x:v>
      </x:c>
      <x:c r="B30" s="30" t="str">
        <x:v>Donde Comer</x:v>
      </x:c>
      <x:c r="C30" s="30" t="str">
        <x:v>Puta Delicia BBQ</x:v>
      </x:c>
      <x:c r="D30" s="30" t="str">
        <x:v>Restaurante BBQ</x:v>
      </x:c>
      <x:c r="E30" s="30" t="str">
        <x:v>Cra. 23 #75A - 33</x:v>
      </x:c>
      <x:c r="F30" s="30" t="str">
        <x:v>Amigos / Familiar</x:v>
      </x:c>
      <x:c r="G30" s="30" t="str">
        <x:v>Comer brisket, carnes ahumadas y platos texan BBQ.</x:v>
      </x:c>
      <x:c r="H30" s="31" t="n">
        <x:v>55000</x:v>
      </x:c>
      <x:c r="I30" s="30" t="str">
        <x:v>$45.000 - $80.000</x:v>
      </x:c>
      <x:c r="J30" s="30" t="str">
        <x:v>Costo estimado; dirección tomada de fuente oficial/Tripadvisor.</x:v>
      </x:c>
      <x:c r="K30" s="30" t="str">
        <x:v>https://distritocreativosanfelipe.com/Detalle/3/gastronomia/18/puta-delicia-bbq/</x:v>
      </x:c>
    </x:row>
    <x:row r="31" ht="26.399999618530273" hidden="0" customHeight="1">
      <x:c r="A31" s="30" t="n">
        <x:v>30</x:v>
      </x:c>
      <x:c r="B31" s="30" t="str">
        <x:v>Donde Comer</x:v>
      </x:c>
      <x:c r="C31" s="30" t="str">
        <x:v>LONGO`S</x:v>
      </x:c>
      <x:c r="D31" s="30" t="str">
        <x:v>Restaurante / hamburguesas</x:v>
      </x:c>
      <x:c r="E31" s="30" t="str">
        <x:v>Cra. 20C #72-41</x:v>
      </x:c>
      <x:c r="F31" s="30" t="str">
        <x:v>Amigos / Pareja</x:v>
      </x:c>
      <x:c r="G31" s="30" t="str">
        <x:v>Comer hamburguesa reconocida de Burger Master.</x:v>
      </x:c>
      <x:c r="H31" s="31" t="n">
        <x:v>45000</x:v>
      </x:c>
      <x:c r="I31" s="30" t="str">
        <x:v>$35.000 - $65.000</x:v>
      </x:c>
      <x:c r="J31" s="30" t="str">
        <x:v>Costo estimado por hamburguesa + bebida.</x:v>
      </x:c>
      <x:c r="K31" s="30" t="str">
        <x:v>https://distritocreativosanfelipe.com/Detalle/3/donde-comer/20/longos/</x:v>
      </x:c>
    </x:row>
    <x:row r="32" ht="26.399999618530273" hidden="0" customHeight="1">
      <x:c r="A32" s="30" t="n">
        <x:v>31</x:v>
      </x:c>
      <x:c r="B32" s="30" t="str">
        <x:v>Donde Comer</x:v>
      </x:c>
      <x:c r="C32" s="30" t="str">
        <x:v>La Cafeteria del Barrio</x:v>
      </x:c>
      <x:c r="D32" s="30" t="str">
        <x:v>Cafetería / pizzas / paninis</x:v>
      </x:c>
      <x:c r="E32" s="30" t="str">
        <x:v>Calle 75 #20C-89</x:v>
      </x:c>
      <x:c r="F32" s="30" t="str">
        <x:v>Individual / Pareja</x:v>
      </x:c>
      <x:c r="G32" s="30" t="str">
        <x:v>Descansar entre galerías con café, pizza, lasaña o postre.</x:v>
      </x:c>
      <x:c r="H32" s="31" t="n">
        <x:v>30000</x:v>
      </x:c>
      <x:c r="I32" s="30" t="str">
        <x:v>$20.000 - $45.000</x:v>
      </x:c>
      <x:c r="J32" s="30" t="str">
        <x:v>Costo estimado por comida ligera o café + plato.</x:v>
      </x:c>
      <x:c r="K32" s="30" t="str">
        <x:v>https://distritocreativosanfelipe.com/Detalle/3/donde-comer/23/la-cafeteria-del-barrio/</x:v>
      </x:c>
    </x:row>
    <x:row r="33" ht="26.399999618530273" hidden="0" customHeight="1">
      <x:c r="A33" s="30" t="n">
        <x:v>32</x:v>
      </x:c>
      <x:c r="B33" s="30" t="str">
        <x:v>Donde Comer</x:v>
      </x:c>
      <x:c r="C33" s="30" t="str">
        <x:v>Fratto helado artesanal</x:v>
      </x:c>
      <x:c r="D33" s="30" t="str">
        <x:v>Heladería artesanal</x:v>
      </x:c>
      <x:c r="E33" s="30" t="str">
        <x:v>Carrera 22 #74-35</x:v>
      </x:c>
      <x:c r="F33" s="30" t="str">
        <x:v>Familiar / Pareja</x:v>
      </x:c>
      <x:c r="G33" s="30" t="str">
        <x:v>Helado artesanal, waffles y postre después del recorrido.</x:v>
      </x:c>
      <x:c r="H33" s="31" t="n">
        <x:v>18000</x:v>
      </x:c>
      <x:c r="I33" s="30" t="str">
        <x:v>$12.000 - $30.000</x:v>
      </x:c>
      <x:c r="J33" s="30" t="str">
        <x:v>Costo estimado por postre/helado.</x:v>
      </x:c>
      <x:c r="K33" s="30" t="str">
        <x:v>https://distritocreativosanfelipe.com/Detalle/3/donde-comer/24/fratto-helado-artesanal/</x:v>
      </x:c>
    </x:row>
    <x:row r="34" ht="26.399999618530273" hidden="0" customHeight="1">
      <x:c r="A34" s="30" t="n">
        <x:v>33</x:v>
      </x:c>
      <x:c r="B34" s="30" t="str">
        <x:v>Donde Comer</x:v>
      </x:c>
      <x:c r="C34" s="30" t="str">
        <x:v>El Aquelarre San Felipe</x:v>
      </x:c>
      <x:c r="D34" s="30" t="str">
        <x:v>Restaurante-bar temático</x:v>
      </x:c>
      <x:c r="E34" s="30" t="str">
        <x:v>Carrera 22 #74A-38</x:v>
      </x:c>
      <x:c r="F34" s="30" t="str">
        <x:v>Pareja / Amigos</x:v>
      </x:c>
      <x:c r="G34" s="30" t="str">
        <x:v>Cena temática, cócteles de autor y música/eventos.</x:v>
      </x:c>
      <x:c r="H34" s="31" t="n">
        <x:v>65000</x:v>
      </x:c>
      <x:c r="I34" s="30" t="str">
        <x:v>$50.000 - $100.000</x:v>
      </x:c>
      <x:c r="J34" s="30" t="str">
        <x:v>Costo estimado por comida + bebida/cóctel.</x:v>
      </x:c>
      <x:c r="K34" s="30" t="str">
        <x:v>https://distritocreativosanfelipe.com/Detalle/3/donde-comer/25/el-aquelarre-san-felipe/</x:v>
      </x:c>
    </x:row>
    <x:row r="35" ht="26.399999618530273" hidden="0" customHeight="1">
      <x:c r="A35" s="30" t="n">
        <x:v>34</x:v>
      </x:c>
      <x:c r="B35" s="30" t="str">
        <x:v>Donde Comer</x:v>
      </x:c>
      <x:c r="C35" s="30" t="str">
        <x:v>Sin Igual 91</x:v>
      </x:c>
      <x:c r="D35" s="30" t="str">
        <x:v>Gastrobar / eventos / buffet</x:v>
      </x:c>
      <x:c r="E35" s="30" t="str">
        <x:v>Carrera 22 #74A - 08</x:v>
      </x:c>
      <x:c r="F35" s="30" t="str">
        <x:v>Amigos / Familiar</x:v>
      </x:c>
      <x:c r="G35" s="30" t="str">
        <x:v>Buffet o gastrobar para grupos y eventos.</x:v>
      </x:c>
      <x:c r="H35" s="31" t="n">
        <x:v>40000</x:v>
      </x:c>
      <x:c r="I35" s="30" t="str">
        <x:v>$30.000 - $70.000</x:v>
      </x:c>
      <x:c r="J35" s="30" t="str">
        <x:v>Costo estimado por consumo; dirección desde fuente oficial.</x:v>
      </x:c>
      <x:c r="K35" s="30" t="str">
        <x:v>https://www.distritocreativosanfelipe.com/Detalle/3/gastronomia/31/sin-igual-91/</x:v>
      </x:c>
    </x:row>
    <x:row r="36" ht="26.399999618530273" hidden="0" customHeight="1">
      <x:c r="A36" s="30" t="n">
        <x:v>35</x:v>
      </x:c>
      <x:c r="B36" s="30" t="str">
        <x:v>Donde Comer</x:v>
      </x:c>
      <x:c r="C36" s="30" t="str">
        <x:v>Botero Burgers</x:v>
      </x:c>
      <x:c r="D36" s="30" t="str">
        <x:v>Restaurante / hamburguesas</x:v>
      </x:c>
      <x:c r="E36" s="30" t="str">
        <x:v>Calle 74 # 20C - 35</x:v>
      </x:c>
      <x:c r="F36" s="30" t="str">
        <x:v>Amigos / Familiar</x:v>
      </x:c>
      <x:c r="G36" s="30" t="str">
        <x:v>Hamburguesa con buena relación precio-calidad.</x:v>
      </x:c>
      <x:c r="H36" s="31" t="n">
        <x:v>40000</x:v>
      </x:c>
      <x:c r="I36" s="30" t="str">
        <x:v>$30.000 - $60.000</x:v>
      </x:c>
      <x:c r="J36" s="30" t="str">
        <x:v>Costo estimado por hamburguesa + bebida.</x:v>
      </x:c>
      <x:c r="K36" s="30" t="str">
        <x:v>https://distritocreativosanfelipe.com/Detalle/3/donde-comer/37/botero-burgers/</x:v>
      </x:c>
    </x:row>
    <x:row r="37" ht="26.399999618530273" hidden="0" customHeight="1">
      <x:c r="A37" s="30" t="n">
        <x:v>36</x:v>
      </x:c>
      <x:c r="B37" s="30" t="str">
        <x:v>Donde Comer</x:v>
      </x:c>
      <x:c r="C37" s="30" t="str">
        <x:v>Las Alas DC</x:v>
      </x:c>
      <x:c r="D37" s="30" t="str">
        <x:v>Restaurante / alitas</x:v>
      </x:c>
      <x:c r="E37" s="30" t="str">
        <x:v>Calle 74A # 22 - 07</x:v>
      </x:c>
      <x:c r="F37" s="30" t="str">
        <x:v>Amigos / Familiar</x:v>
      </x:c>
      <x:c r="G37" s="30" t="str">
        <x:v>Comer alitas en plan casual.</x:v>
      </x:c>
      <x:c r="H37" s="31" t="n">
        <x:v>35000</x:v>
      </x:c>
      <x:c r="I37" s="30" t="str">
        <x:v>$25.000 - $55.000</x:v>
      </x:c>
      <x:c r="J37" s="30" t="str">
        <x:v>Costo estimado por porción + bebida.</x:v>
      </x:c>
      <x:c r="K37" s="30" t="str">
        <x:v>https://distritocreativosanfelipe.com/Detalle/3/donde-comer/104/las-alas-dc/</x:v>
      </x:c>
    </x:row>
    <x:row r="38" ht="26.399999618530273" hidden="0" customHeight="1">
      <x:c r="A38" s="30" t="n">
        <x:v>37</x:v>
      </x:c>
      <x:c r="B38" s="30" t="str">
        <x:v>Donde Comer</x:v>
      </x:c>
      <x:c r="C38" s="30" t="str">
        <x:v>Aliento de Dragon</x:v>
      </x:c>
      <x:c r="D38" s="30" t="str">
        <x:v>Restaurante / bar casual</x:v>
      </x:c>
      <x:c r="E38" s="30" t="str">
        <x:v>Carrera 22 # 76 - 20</x:v>
      </x:c>
      <x:c r="F38" s="30" t="str">
        <x:v>Amigos</x:v>
      </x:c>
      <x:c r="G38" s="30" t="str">
        <x:v>Plan nocturno informal para compartir comida y bebidas.</x:v>
      </x:c>
      <x:c r="H38" s="31" t="n">
        <x:v>40000</x:v>
      </x:c>
      <x:c r="I38" s="30" t="str">
        <x:v>$30.000 - $70.000</x:v>
      </x:c>
      <x:c r="J38" s="30" t="str">
        <x:v>Costo estimado por consumo casual.</x:v>
      </x:c>
      <x:c r="K38" s="30" t="str">
        <x:v>https://distritocreativosanfelipe.com/Detalle/3/donde-comer/69/aliento-de-dragon/</x:v>
      </x:c>
    </x:row>
    <x:row r="39" ht="26.399999618530273" hidden="0" customHeight="1">
      <x:c r="A39" s="30" t="n">
        <x:v>38</x:v>
      </x:c>
      <x:c r="B39" s="30" t="str">
        <x:v>Donde Comer</x:v>
      </x:c>
      <x:c r="C39" s="30" t="str">
        <x:v>Wings zone</x:v>
      </x:c>
      <x:c r="D39" s="30" t="str">
        <x:v>Restaurante / alitas</x:v>
      </x:c>
      <x:c r="E39" s="30" t="str">
        <x:v>Calle 75A #23 - 39</x:v>
      </x:c>
      <x:c r="F39" s="30" t="str">
        <x:v>Amigos / Familiar</x:v>
      </x:c>
      <x:c r="G39" s="30" t="str">
        <x:v>Plan de alitas y comida rápida.</x:v>
      </x:c>
      <x:c r="H39" s="31" t="n">
        <x:v>35000</x:v>
      </x:c>
      <x:c r="I39" s="30" t="str">
        <x:v>$25.000 - $55.000</x:v>
      </x:c>
      <x:c r="J39" s="30" t="str">
        <x:v>Costo estimado por porción + bebida.</x:v>
      </x:c>
      <x:c r="K39" s="30" t="str">
        <x:v>https://distritocreativosanfelipe.com/Detalle/3/donde-comer/149/wings-zone/</x:v>
      </x:c>
    </x:row>
    <x:row r="40" ht="26.399999618530273" hidden="0" customHeight="1">
      <x:c r="A40" s="30" t="n">
        <x:v>39</x:v>
      </x:c>
      <x:c r="B40" s="30" t="str">
        <x:v>Donde Comer</x:v>
      </x:c>
      <x:c r="C40" s="30" t="str">
        <x:v>Gold Foods</x:v>
      </x:c>
      <x:c r="D40" s="30" t="str">
        <x:v>Comida saludable</x:v>
      </x:c>
      <x:c r="E40" s="30" t="str">
        <x:v>Carrera 20C # 73 - 37</x:v>
      </x:c>
      <x:c r="F40" s="30" t="str">
        <x:v>Individual / Deportistas</x:v>
      </x:c>
      <x:c r="G40" s="30" t="str">
        <x:v>Comida saludable para almuerzo rápido o post-entrenamiento.</x:v>
      </x:c>
      <x:c r="H40" s="31" t="n">
        <x:v>30000</x:v>
      </x:c>
      <x:c r="I40" s="30" t="str">
        <x:v>$20.000 - $45.000</x:v>
      </x:c>
      <x:c r="J40" s="30" t="str">
        <x:v>Costo estimado por plato saludable.</x:v>
      </x:c>
      <x:c r="K40" s="30" t="str">
        <x:v>https://distritocreativosanfelipe.com/Detalle/3/donde-comer/159/gold-foods/</x:v>
      </x:c>
    </x:row>
    <x:row r="41" ht="26.399999618530273" hidden="0" customHeight="1">
      <x:c r="A41" s="30" t="n">
        <x:v>40</x:v>
      </x:c>
      <x:c r="B41" s="30" t="str">
        <x:v>Donde Comer</x:v>
      </x:c>
      <x:c r="C41" s="30" t="str">
        <x:v>Casa Andiamo</x:v>
      </x:c>
      <x:c r="D41" s="30" t="str">
        <x:v>Restaurante italiano</x:v>
      </x:c>
      <x:c r="E41" s="30" t="str">
        <x:v>Calle 74 # 20C -19</x:v>
      </x:c>
      <x:c r="F41" s="30" t="str">
        <x:v>Pareja / Familiar</x:v>
      </x:c>
      <x:c r="G41" s="30" t="str">
        <x:v>Comida italiana para cena o almuerzo en recorrido cultural.</x:v>
      </x:c>
      <x:c r="H41" s="31" t="n">
        <x:v>50000</x:v>
      </x:c>
      <x:c r="I41" s="30" t="str">
        <x:v>$40.000 - $80.000</x:v>
      </x:c>
      <x:c r="J41" s="30" t="str">
        <x:v>Costo estimado por plato + bebida.</x:v>
      </x:c>
      <x:c r="K41" s="30" t="str">
        <x:v>https://distritocreativosanfelipe.com/Detalle/3/donde-comer/158/casa-andiamo/</x:v>
      </x:c>
    </x:row>
    <x:row r="42" ht="26.399999618530273" hidden="0" customHeight="1">
      <x:c r="A42" s="30" t="n">
        <x:v>41</x:v>
      </x:c>
      <x:c r="B42" s="30" t="str">
        <x:v>Donde Comer</x:v>
      </x:c>
      <x:c r="C42" s="30" t="str">
        <x:v>Capella Gastro Bar</x:v>
      </x:c>
      <x:c r="D42" s="30" t="str">
        <x:v>Gastrobar temático</x:v>
      </x:c>
      <x:c r="E42" s="30" t="str">
        <x:v>Carrera 20C #73 - 45</x:v>
      </x:c>
      <x:c r="F42" s="30" t="str">
        <x:v>Pareja / Amigos</x:v>
      </x:c>
      <x:c r="G42" s="30" t="str">
        <x:v>Cena o bebidas en gastrobar temático.</x:v>
      </x:c>
      <x:c r="H42" s="31" t="n">
        <x:v>60000</x:v>
      </x:c>
      <x:c r="I42" s="30" t="str">
        <x:v>$45.000 - $90.000</x:v>
      </x:c>
      <x:c r="J42" s="30" t="str">
        <x:v>Costo estimado por comida + bebida.</x:v>
      </x:c>
      <x:c r="K42" s="30" t="str">
        <x:v>https://distritocreativosanfelipe.com/Detalle/3/donde-comer/157/capella-gastro-bar/</x:v>
      </x:c>
    </x:row>
    <x:row r="43" ht="39.599998474121094" hidden="0" customHeight="1">
      <x:c r="A43" s="30" t="n">
        <x:v>42</x:v>
      </x:c>
      <x:c r="B43" s="30" t="str">
        <x:v>Donde Comer</x:v>
      </x:c>
      <x:c r="C43" s="30" t="str">
        <x:v>La Jungla</x:v>
      </x:c>
      <x:c r="D43" s="30" t="str">
        <x:v>Restaurante / café</x:v>
      </x:c>
      <x:c r="E43" s="30" t="str">
        <x:v>Calle 74 #22-38</x:v>
      </x:c>
      <x:c r="F43" s="30" t="str">
        <x:v>Amigos / Pareja</x:v>
      </x:c>
      <x:c r="G43" s="30" t="str">
        <x:v>Plan de comida casual dentro del circuito gastronómico.</x:v>
      </x:c>
      <x:c r="H43" s="31" t="n">
        <x:v>40000</x:v>
      </x:c>
      <x:c r="I43" s="30" t="str">
        <x:v>$30.000 - $70.000</x:v>
      </x:c>
      <x:c r="J43" s="30" t="str">
        <x:v>La consulta oficial se cortó; dirección no visible en extracción. Dirección actualizada/verificada con fuente complementaria.</x:v>
      </x:c>
      <x:c r="K43" s="30" t="str">
        <x:v>https://distritocreativosanfelipe.com/Detalle/3/donde-comer/155/la-jungla/</x:v>
      </x:c>
      <x:c r="L43" t="str">
        <x:v>https://distritocreativosanfelipe.com/Detalle/3/donde-comer/155/la-jungla/</x:v>
      </x:c>
    </x:row>
    <x:row r="44" ht="26.399999618530273" hidden="0" customHeight="1">
      <x:c r="A44" s="30" t="n">
        <x:v>43</x:v>
      </x:c>
      <x:c r="B44" s="30" t="str">
        <x:v>Donde Comer</x:v>
      </x:c>
      <x:c r="C44" s="30" t="str">
        <x:v>Montana Café y Vinilos</x:v>
      </x:c>
      <x:c r="D44" s="30" t="str">
        <x:v>Café / vinilos</x:v>
      </x:c>
      <x:c r="E44" s="30" t="str">
        <x:v>Carrera 23 # 73-75</x:v>
      </x:c>
      <x:c r="F44" s="30" t="str">
        <x:v>Individual / Pareja</x:v>
      </x:c>
      <x:c r="G44" s="30" t="str">
        <x:v>Café, música y exploración de vinilos.</x:v>
      </x:c>
      <x:c r="H44" s="31" t="n">
        <x:v>25000</x:v>
      </x:c>
      <x:c r="I44" s="30" t="str">
        <x:v>$15.000 - $40.000</x:v>
      </x:c>
      <x:c r="J44" s="30" t="str">
        <x:v>Costo estimado por café + snack o bebida.</x:v>
      </x:c>
      <x:c r="K44" s="30" t="str">
        <x:v>https://distritocreativosanfelipe.com/Detalle/3/donde-comer/153/montana-cafe-y-vinilos/</x:v>
      </x:c>
    </x:row>
    <x:row r="45" ht="26.399999618530273" hidden="0" customHeight="1">
      <x:c r="A45" s="30" t="n">
        <x:v>44</x:v>
      </x:c>
      <x:c r="B45" s="30" t="str">
        <x:v>Donde Comer</x:v>
      </x:c>
      <x:c r="C45" s="30" t="str">
        <x:v>Braaap Café</x:v>
      </x:c>
      <x:c r="D45" s="30" t="str">
        <x:v>Café</x:v>
      </x:c>
      <x:c r="E45" s="30" t="str">
        <x:v>Calle 75A # 20B - 15</x:v>
      </x:c>
      <x:c r="F45" s="30" t="str">
        <x:v>Individual / Pareja</x:v>
      </x:c>
      <x:c r="G45" s="30" t="str">
        <x:v>Tomar café en plan tranquilo durante el recorrido.</x:v>
      </x:c>
      <x:c r="H45" s="31" t="n">
        <x:v>22000</x:v>
      </x:c>
      <x:c r="I45" s="30" t="str">
        <x:v>$12.000 - $35.000</x:v>
      </x:c>
      <x:c r="J45" s="30" t="str">
        <x:v>Costo estimado por café + snack.</x:v>
      </x:c>
      <x:c r="K45" s="30" t="str">
        <x:v>https://distritocreativosanfelipe.com/Detalle/3/donde-comer/154/braaap-cafe/</x:v>
      </x:c>
    </x:row>
    <x:row r="46" ht="26.399999618530273" hidden="0" customHeight="1">
      <x:c r="A46" s="30" t="n">
        <x:v>45</x:v>
      </x:c>
      <x:c r="B46" s="30" t="str">
        <x:v>Donde Comer</x:v>
      </x:c>
      <x:c r="C46" s="30" t="str">
        <x:v>Los Discipulos</x:v>
      </x:c>
      <x:c r="D46" s="30" t="str">
        <x:v>Restaurante / cocina colombiana</x:v>
      </x:c>
      <x:c r="E46" s="30" t="str">
        <x:v>Calle 75 No. 22 - 40</x:v>
      </x:c>
      <x:c r="F46" s="30" t="str">
        <x:v>Familiar / Amigos</x:v>
      </x:c>
      <x:c r="G46" s="30" t="str">
        <x:v>Comida colombiana casual para almuerzo o cena.</x:v>
      </x:c>
      <x:c r="H46" s="31" t="n">
        <x:v>40000</x:v>
      </x:c>
      <x:c r="I46" s="30" t="str">
        <x:v>$30.000 - $60.000</x:v>
      </x:c>
      <x:c r="J46" s="30" t="str">
        <x:v>Costo estimado por plato + bebida.</x:v>
      </x:c>
      <x:c r="K46" s="30" t="str">
        <x:v>https://distritocreativosanfelipe.com/Detalle/3/donde-comer/142/los-discipulos/</x:v>
      </x:c>
    </x:row>
    <x:row r="47" ht="26.399999618530273" hidden="0" customHeight="1">
      <x:c r="A47" s="30" t="n">
        <x:v>46</x:v>
      </x:c>
      <x:c r="B47" s="30" t="str">
        <x:v>Donde Comer</x:v>
      </x:c>
      <x:c r="C47" s="30" t="str">
        <x:v>Chy Chocolate</x:v>
      </x:c>
      <x:c r="D47" s="30" t="str">
        <x:v>Chocolatería / pastelería</x:v>
      </x:c>
      <x:c r="E47" s="30" t="str">
        <x:v>Calle 76 #22-09 Local 04</x:v>
      </x:c>
      <x:c r="F47" s="30" t="str">
        <x:v>Pareja / Individual</x:v>
      </x:c>
      <x:c r="G47" s="30" t="str">
        <x:v>Chocolatería artesanal y postres de origen.</x:v>
      </x:c>
      <x:c r="H47" s="31" t="n">
        <x:v>25000</x:v>
      </x:c>
      <x:c r="I47" s="30" t="str">
        <x:v>$15.000 - $45.000</x:v>
      </x:c>
      <x:c r="J47" s="30" t="str">
        <x:v>La fuente oficial no muestra dirección. Dirección actualizada/verificada con fuente complementaria.</x:v>
      </x:c>
      <x:c r="K47" s="30" t="str">
        <x:v>https://distritocreativosanfelipe.com/Detalle/3/donde-comer/81/chy-chocolate/</x:v>
      </x:c>
      <x:c r="L47" t="str">
        <x:v>https://www.instagram.com/p/DNDm73gM4OQ/</x:v>
      </x:c>
    </x:row>
    <x:row r="48" ht="26.399999618530273" hidden="0" customHeight="1">
      <x:c r="A48" s="30" t="n">
        <x:v>47</x:v>
      </x:c>
      <x:c r="B48" s="30" t="str">
        <x:v>Donde Comer</x:v>
      </x:c>
      <x:c r="C48" s="30" t="str">
        <x:v>Savvor</x:v>
      </x:c>
      <x:c r="D48" s="30" t="str">
        <x:v>Panadería / postres / café</x:v>
      </x:c>
      <x:c r="E48" s="30" t="str">
        <x:v>Calle 76 # 22 - 09</x:v>
      </x:c>
      <x:c r="F48" s="30" t="str">
        <x:v>Individual / Pareja</x:v>
      </x:c>
      <x:c r="G48" s="30" t="str">
        <x:v>Café, panadería y postres para pausa corta.</x:v>
      </x:c>
      <x:c r="H48" s="31" t="n">
        <x:v>25000</x:v>
      </x:c>
      <x:c r="I48" s="30" t="str">
        <x:v>$15.000 - $40.000</x:v>
      </x:c>
      <x:c r="J48" s="30" t="str">
        <x:v>Costo estimado por café + postre/panadería.</x:v>
      </x:c>
      <x:c r="K48" s="30" t="str">
        <x:v>https://distritocreativosanfelipe.com/Detalle/3/donde-comer/146/savvor/</x:v>
      </x:c>
    </x:row>
    <x:row r="49" ht="26.399999618530273" hidden="0" customHeight="1">
      <x:c r="A49" s="30" t="n">
        <x:v>48</x:v>
      </x:c>
      <x:c r="B49" s="30" t="str">
        <x:v>Donde Comer</x:v>
      </x:c>
      <x:c r="C49" s="30" t="str">
        <x:v>Lilipan</x:v>
      </x:c>
      <x:c r="D49" s="30" t="str">
        <x:v>Panadería / desayunos</x:v>
      </x:c>
      <x:c r="E49" s="30" t="str">
        <x:v>Carrera 22 #75-18, Casa Rosada, Barrio San Felipe</x:v>
      </x:c>
      <x:c r="F49" s="30" t="str">
        <x:v>Familiar / Individual</x:v>
      </x:c>
      <x:c r="G49" s="30" t="str">
        <x:v>Desayuno, empanadas, panadería y bebidas calientes.</x:v>
      </x:c>
      <x:c r="H49" s="31" t="n">
        <x:v>18000</x:v>
      </x:c>
      <x:c r="I49" s="30" t="str">
        <x:v>$10.000 - $30.000</x:v>
      </x:c>
      <x:c r="J49" s="30" t="str">
        <x:v>La fuente oficial no muestra dirección. Dirección actualizada/verificada con fuente complementaria.</x:v>
      </x:c>
      <x:c r="K49" s="30" t="str">
        <x:v>https://distritocreativosanfelipe.com/Detalle/3/donde-comer/78/lilipan/</x:v>
      </x:c>
      <x:c r="L49" t="str">
        <x:v>https://cafeterias.guiabbb.co/02198798/Lilipan_Panaderia</x:v>
      </x:c>
    </x:row>
    <x:row r="50" ht="26.399999618530273" hidden="0" customHeight="1">
      <x:c r="A50" s="30" t="n">
        <x:v>49</x:v>
      </x:c>
      <x:c r="B50" s="30" t="str">
        <x:v>Donde Comer</x:v>
      </x:c>
      <x:c r="C50" s="30" t="str">
        <x:v>Chapoleros</x:v>
      </x:c>
      <x:c r="D50" s="30" t="str">
        <x:v>Café</x:v>
      </x:c>
      <x:c r="E50" s="30" t="str">
        <x:v>Calle 74A No 20C - 11</x:v>
      </x:c>
      <x:c r="F50" s="30" t="str">
        <x:v>Individual / Pareja</x:v>
      </x:c>
      <x:c r="G50" s="30" t="str">
        <x:v>Café de pausa entre recorridos.</x:v>
      </x:c>
      <x:c r="H50" s="31" t="n">
        <x:v>20000</x:v>
      </x:c>
      <x:c r="I50" s="30" t="str">
        <x:v>$12.000 - $35.000</x:v>
      </x:c>
      <x:c r="J50" s="30" t="str">
        <x:v>Costo estimado por café + acompañamiento.</x:v>
      </x:c>
      <x:c r="K50" s="30" t="str">
        <x:v>https://distritocreativosanfelipe.com/Detalle/3/donde-comer/151/chapoleros/</x:v>
      </x:c>
    </x:row>
    <x:row r="51" ht="39.599998474121094" hidden="0" customHeight="1">
      <x:c r="A51" s="30" t="n">
        <x:v>50</x:v>
      </x:c>
      <x:c r="B51" s="30" t="str">
        <x:v>Donde Comer</x:v>
      </x:c>
      <x:c r="C51" s="30" t="str">
        <x:v>Solomons Bistro Cultural</x:v>
      </x:c>
      <x:c r="D51" s="30" t="str">
        <x:v>Bistró cultural</x:v>
      </x:c>
      <x:c r="E51" s="30" t="str">
        <x:v>Calle 74 No. 20C-19</x:v>
      </x:c>
      <x:c r="F51" s="30" t="str">
        <x:v>Pareja / Amigos</x:v>
      </x:c>
      <x:c r="G51" s="30" t="str">
        <x:v>Comer y conectar con ambiente cultural.</x:v>
      </x:c>
      <x:c r="H51" s="31" t="n">
        <x:v>45000</x:v>
      </x:c>
      <x:c r="I51" s="30" t="str">
        <x:v>$35.000 - $80.000</x:v>
      </x:c>
      <x:c r="J51" s="30" t="str">
        <x:v>La fuente oficial no muestra dirección en la consulta. Dirección actualizada/verificada con fuente complementaria.</x:v>
      </x:c>
      <x:c r="K51" s="30" t="str">
        <x:v>https://distritocreativosanfelipe.com/Detalle/3/donde-comer/139/solomons-bistro-cultural/</x:v>
      </x:c>
      <x:c r="L51" t="str">
        <x:v>https://distritocreativosanfelipe.com/Detalle/3/donde-comer/139/solomons-bistro-cultural/</x:v>
      </x:c>
    </x:row>
    <x:row r="52" ht="26.399999618530273" hidden="0" customHeight="1">
      <x:c r="A52" s="30" t="n">
        <x:v>51</x:v>
      </x:c>
      <x:c r="B52" s="30" t="str">
        <x:v>Donde Comer</x:v>
      </x:c>
      <x:c r="C52" s="30" t="str">
        <x:v>Monte moreno</x:v>
      </x:c>
      <x:c r="D52" s="30" t="str">
        <x:v>Restaurante de autor / desayunos</x:v>
      </x:c>
      <x:c r="E52" s="30" t="str">
        <x:v>Carrera 20C #73 - 56</x:v>
      </x:c>
      <x:c r="F52" s="30" t="str">
        <x:v>Pareja / Familiar</x:v>
      </x:c>
      <x:c r="G52" s="30" t="str">
        <x:v>Desayuno o comida de autor dentro del distrito.</x:v>
      </x:c>
      <x:c r="H52" s="31" t="n">
        <x:v>45000</x:v>
      </x:c>
      <x:c r="I52" s="30" t="str">
        <x:v>$30.000 - $80.000</x:v>
      </x:c>
      <x:c r="J52" s="30" t="str">
        <x:v>Costo estimado por plato + bebida.</x:v>
      </x:c>
      <x:c r="K52" s="30" t="str">
        <x:v>https://distritocreativosanfelipe.com/Detalle/3/donde-comer/144/monte-moreno/</x:v>
      </x:c>
    </x:row>
    <x:row r="53" ht="26.399999618530273" hidden="0" customHeight="1">
      <x:c r="A53" s="30" t="n">
        <x:v>52</x:v>
      </x:c>
      <x:c r="B53" s="30" t="str">
        <x:v>Donde Comer</x:v>
      </x:c>
      <x:c r="C53" s="30" t="str">
        <x:v>Cuadra Mexicana - Rogelio Red Tacos</x:v>
      </x:c>
      <x:c r="D53" s="30" t="str">
        <x:v>Restaurante mexicano</x:v>
      </x:c>
      <x:c r="E53" s="30" t="str">
        <x:v>Calle 78 No. 24-28</x:v>
      </x:c>
      <x:c r="F53" s="30" t="str">
        <x:v>Amigos / Familiar</x:v>
      </x:c>
      <x:c r="G53" s="30" t="str">
        <x:v>Comida mexicana, tacos y esquites.</x:v>
      </x:c>
      <x:c r="H53" s="31" t="n">
        <x:v>40000</x:v>
      </x:c>
      <x:c r="I53" s="30" t="str">
        <x:v>$30.000 - $65.000</x:v>
      </x:c>
      <x:c r="J53" s="30" t="str">
        <x:v>Costo estimado por comida + bebida.</x:v>
      </x:c>
      <x:c r="K53" s="30" t="str">
        <x:v>https://distritocreativosanfelipe.com/Detalle/3/donde-comer/84/cuadra-mexicana-rogelio-red-tacos/</x:v>
      </x:c>
    </x:row>
    <x:row r="54" ht="26.399999618530273" hidden="0" customHeight="1">
      <x:c r="A54" s="30" t="n">
        <x:v>53</x:v>
      </x:c>
      <x:c r="B54" s="30" t="str">
        <x:v>Donde Comer</x:v>
      </x:c>
      <x:c r="C54" s="30" t="str">
        <x:v>Moraleja Pasteleria</x:v>
      </x:c>
      <x:c r="D54" s="30" t="str">
        <x:v>Café / pastelería</x:v>
      </x:c>
      <x:c r="E54" s="30" t="str">
        <x:v>Calle 74 No. 22-62</x:v>
      </x:c>
      <x:c r="F54" s="30" t="str">
        <x:v>Pareja / Familiar</x:v>
      </x:c>
      <x:c r="G54" s="30" t="str">
        <x:v>Pastelería, café, tortas y rollos para onces.</x:v>
      </x:c>
      <x:c r="H54" s="31" t="n">
        <x:v>22000</x:v>
      </x:c>
      <x:c r="I54" s="30" t="str">
        <x:v>$12.000 - $35.000</x:v>
      </x:c>
      <x:c r="J54" s="30" t="str">
        <x:v>Costo estimado por café + postre.</x:v>
      </x:c>
      <x:c r="K54" s="30" t="str">
        <x:v>https://distritocreativosanfelipe.com/Detalle/3/donde-comer/33/moraleja-pasteleria/</x:v>
      </x:c>
    </x:row>
    <x:row r="55" ht="26.399999618530273" hidden="0" customHeight="1">
      <x:c r="A55" s="30" t="n">
        <x:v>54</x:v>
      </x:c>
      <x:c r="B55" s="30" t="str">
        <x:v>Donde Comer</x:v>
      </x:c>
      <x:c r="C55" s="30" t="str">
        <x:v>Tertulia Librería Café</x:v>
      </x:c>
      <x:c r="D55" s="30" t="str">
        <x:v>Librería-café</x:v>
      </x:c>
      <x:c r="E55" s="30" t="str">
        <x:v>Carrera 22 #74-07</x:v>
      </x:c>
      <x:c r="F55" s="30" t="str">
        <x:v>Individual / Familiar</x:v>
      </x:c>
      <x:c r="G55" s="30" t="str">
        <x:v>Leer, comprar libros y tomar café; ideal para niños y adultos.</x:v>
      </x:c>
      <x:c r="H55" s="31" t="n">
        <x:v>25000</x:v>
      </x:c>
      <x:c r="I55" s="30" t="str">
        <x:v>$15.000 - $45.000</x:v>
      </x:c>
      <x:c r="J55" s="30" t="str">
        <x:v>Costo estimado por café + antojo; libros no incluidos.</x:v>
      </x:c>
      <x:c r="K55" s="30" t="str">
        <x:v>https://distritocreativosanfelipe.com/Detalle/3/donde-comer/39/tertulia-libreria-cafe/</x:v>
      </x:c>
    </x:row>
    <x:row r="56" ht="26.399999618530273" hidden="0" customHeight="1">
      <x:c r="A56" s="30" t="n">
        <x:v>55</x:v>
      </x:c>
      <x:c r="B56" s="30" t="str">
        <x:v>Donde Comer</x:v>
      </x:c>
      <x:c r="C56" s="30" t="str">
        <x:v>VII Panadería Artesanal</x:v>
      </x:c>
      <x:c r="D56" s="30" t="str">
        <x:v>Panadería / café / restaurante</x:v>
      </x:c>
      <x:c r="E56" s="30" t="str">
        <x:v>Carrera 22 #74 - 10</x:v>
      </x:c>
      <x:c r="F56" s="30" t="str">
        <x:v>Familiar / Pareja</x:v>
      </x:c>
      <x:c r="G56" s="30" t="str">
        <x:v>Panadería artesanal, café, cocina y repostería.</x:v>
      </x:c>
      <x:c r="H56" s="31" t="n">
        <x:v>30000</x:v>
      </x:c>
      <x:c r="I56" s="30" t="str">
        <x:v>$18.000 - $45.000</x:v>
      </x:c>
      <x:c r="J56" s="30" t="str">
        <x:v>Costo estimado por consumo de panadería/café o plato ligero.</x:v>
      </x:c>
      <x:c r="K56" s="30" t="str">
        <x:v>https://distritocreativosanfelipe.com/Detalle/3/donde-comer/28/vii-panaderia-artesanal/</x:v>
      </x:c>
    </x:row>
    <x:row r="57" ht="26.399999618530273" hidden="0" customHeight="1">
      <x:c r="A57" s="30" t="n">
        <x:v>56</x:v>
      </x:c>
      <x:c r="B57" s="30" t="str">
        <x:v>Donde Comer</x:v>
      </x:c>
      <x:c r="C57" s="30" t="str">
        <x:v>La Marttina</x:v>
      </x:c>
      <x:c r="D57" s="30" t="str">
        <x:v>Salón de onces / café y postres</x:v>
      </x:c>
      <x:c r="E57" s="30" t="str">
        <x:v>Calle 75 # 22 - 40</x:v>
      </x:c>
      <x:c r="F57" s="30" t="str">
        <x:v>Pareja / Familiar</x:v>
      </x:c>
      <x:c r="G57" s="30" t="str">
        <x:v>Onces, café y postres en plan tranquilo.</x:v>
      </x:c>
      <x:c r="H57" s="31" t="n">
        <x:v>25000</x:v>
      </x:c>
      <x:c r="I57" s="30" t="str">
        <x:v>$15.000 - $45.000</x:v>
      </x:c>
      <x:c r="J57" s="30" t="str">
        <x:v>Costo estimado por café + postre.</x:v>
      </x:c>
      <x:c r="K57" s="30" t="str">
        <x:v>https://distritocreativosanfelipe.com/Detalle/3/donde-comer/105/la-marttina/</x:v>
      </x:c>
    </x:row>
    <x:row r="58" ht="26.399999618530273" hidden="0" customHeight="1">
      <x:c r="A58" s="30" t="n">
        <x:v>57</x:v>
      </x:c>
      <x:c r="B58" s="30" t="str">
        <x:v>Donde Comer</x:v>
      </x:c>
      <x:c r="C58" s="30" t="str">
        <x:v>Cafe Open</x:v>
      </x:c>
      <x:c r="D58" s="30" t="str">
        <x:v>Café y pizzas</x:v>
      </x:c>
      <x:c r="E58" s="30" t="str">
        <x:v>Carrera 22 #74A-08</x:v>
      </x:c>
      <x:c r="F58" s="30" t="str">
        <x:v>Individual / Pareja</x:v>
      </x:c>
      <x:c r="G58" s="30" t="str">
        <x:v>Café o pizza en formato casual.</x:v>
      </x:c>
      <x:c r="H58" s="31" t="n">
        <x:v>30000</x:v>
      </x:c>
      <x:c r="I58" s="30" t="str">
        <x:v>$20.000 - $45.000</x:v>
      </x:c>
      <x:c r="J58" s="30" t="str">
        <x:v>La fuente oficial no muestra dirección. Dirección actualizada/verificada con fuente complementaria.</x:v>
      </x:c>
      <x:c r="K58" s="30" t="str">
        <x:v>https://distritocreativosanfelipe.com/Detalle/3/donde-comer/99/cafe-open/</x:v>
      </x:c>
      <x:c r="L58" t="str">
        <x:v>https://www.instagram.com/cafeopensanfelipe/</x:v>
      </x:c>
    </x:row>
    <x:row r="59" ht="26.399999618530273" hidden="0" customHeight="1">
      <x:c r="A59" s="30" t="n">
        <x:v>58</x:v>
      </x:c>
      <x:c r="B59" s="30" t="str">
        <x:v>Donde Comer</x:v>
      </x:c>
      <x:c r="C59" s="30" t="str">
        <x:v>MOD</x:v>
      </x:c>
      <x:c r="D59" s="30" t="str">
        <x:v>Restaurante / cocina sudeste asiático</x:v>
      </x:c>
      <x:c r="E59" s="30" t="str">
        <x:v>Calle 72A #20B - 09</x:v>
      </x:c>
      <x:c r="F59" s="30" t="str">
        <x:v>Pareja / Amigos</x:v>
      </x:c>
      <x:c r="G59" s="30" t="str">
        <x:v>Cocina del sudeste asiático para cena o almuerzo.</x:v>
      </x:c>
      <x:c r="H59" s="31" t="n">
        <x:v>55000</x:v>
      </x:c>
      <x:c r="I59" s="30" t="str">
        <x:v>$40.000 - $80.000</x:v>
      </x:c>
      <x:c r="J59" s="30" t="str">
        <x:v>Dirección tomada de la página oficial en el buscador.</x:v>
      </x:c>
      <x:c r="K59" s="30" t="str">
        <x:v>https://www.distritocreativosanfelipe.com/Detalle/3/gastronomia/163/mod/</x:v>
      </x:c>
    </x:row>
    <x:row r="60" ht="26.399999618530273" hidden="0" customHeight="1">
      <x:c r="A60" s="30" t="n">
        <x:v>59</x:v>
      </x:c>
      <x:c r="B60" s="30" t="str">
        <x:v>Entretenimiento</x:v>
      </x:c>
      <x:c r="C60" s="30" t="str">
        <x:v>Pola del Pub</x:v>
      </x:c>
      <x:c r="D60" s="30" t="str">
        <x:v>Pub / microcervecería</x:v>
      </x:c>
      <x:c r="E60" s="30" t="str">
        <x:v>Calle 78 #23-55</x:v>
      </x:c>
      <x:c r="F60" s="30" t="str">
        <x:v>Amigos / Pareja</x:v>
      </x:c>
      <x:c r="G60" s="30" t="str">
        <x:v>Tomar cerveza artesanal y compartir en pub.</x:v>
      </x:c>
      <x:c r="H60" s="31" t="n">
        <x:v>50000</x:v>
      </x:c>
      <x:c r="I60" s="30" t="str">
        <x:v>$35.000 - $80.000</x:v>
      </x:c>
      <x:c r="J60" s="30" t="str">
        <x:v>Costo estimado por cervezas + comida ligera.</x:v>
      </x:c>
      <x:c r="K60" s="30" t="str">
        <x:v>https://distritocreativosanfelipe.com/Detalle/6/entretenimiento/16/pola-del-pub/</x:v>
      </x:c>
    </x:row>
    <x:row r="61" ht="26.399999618530273" hidden="0" customHeight="1">
      <x:c r="A61" s="30" t="n">
        <x:v>60</x:v>
      </x:c>
      <x:c r="B61" s="30" t="str">
        <x:v>Entretenimiento</x:v>
      </x:c>
      <x:c r="C61" s="30" t="str">
        <x:v>La Embajada Pola &amp; Tejo</x:v>
      </x:c>
      <x:c r="D61" s="30" t="str">
        <x:v>Tejo / bar</x:v>
      </x:c>
      <x:c r="E61" s="30" t="str">
        <x:v>Carrera 24 #76-20</x:v>
      </x:c>
      <x:c r="F61" s="30" t="str">
        <x:v>Amigos / Familiar</x:v>
      </x:c>
      <x:c r="G61" s="30" t="str">
        <x:v>Jugar tejo y tomar bebidas en grupo.</x:v>
      </x:c>
      <x:c r="H61" s="31" t="n">
        <x:v>50000</x:v>
      </x:c>
      <x:c r="I61" s="30" t="str">
        <x:v>$35.000 - $80.000</x:v>
      </x:c>
      <x:c r="J61" s="30" t="str">
        <x:v>Costo estimado por consumo + juego, variable por grupo.</x:v>
      </x:c>
      <x:c r="K61" s="30" t="str">
        <x:v>https://distritocreativosanfelipe.com/Detalle/6/entretenimiento/17/la-embajada-pola-tejo/</x:v>
      </x:c>
    </x:row>
    <x:row r="62" ht="26.399999618530273" hidden="0" customHeight="1">
      <x:c r="A62" s="30" t="n">
        <x:v>61</x:v>
      </x:c>
      <x:c r="B62" s="30" t="str">
        <x:v>Entretenimiento</x:v>
      </x:c>
      <x:c r="C62" s="30" t="str">
        <x:v>Frog Bolirana Club</x:v>
      </x:c>
      <x:c r="D62" s="30" t="str">
        <x:v>Bolirana / entretenimiento</x:v>
      </x:c>
      <x:c r="E62" s="30" t="str">
        <x:v>Cra 24 No. 75 - 32</x:v>
      </x:c>
      <x:c r="F62" s="30" t="str">
        <x:v>Amigos / Familiar</x:v>
      </x:c>
      <x:c r="G62" s="30" t="str">
        <x:v>Jugar bolirana electrónica en grupo.</x:v>
      </x:c>
      <x:c r="H62" s="31" t="n">
        <x:v>40000</x:v>
      </x:c>
      <x:c r="I62" s="30" t="str">
        <x:v>$25.000 - $70.000</x:v>
      </x:c>
      <x:c r="J62" s="30" t="str">
        <x:v>Costo estimado por consumo + juego.</x:v>
      </x:c>
      <x:c r="K62" s="30" t="str">
        <x:v>https://distritocreativosanfelipe.com/Detalle/6/entretenimiento/22/frog-bolirana-club/</x:v>
      </x:c>
    </x:row>
    <x:row r="63" ht="26.399999618530273" hidden="0" customHeight="1">
      <x:c r="A63" s="30" t="n">
        <x:v>62</x:v>
      </x:c>
      <x:c r="B63" s="30" t="str">
        <x:v>Entretenimiento</x:v>
      </x:c>
      <x:c r="C63" s="30" t="str">
        <x:v>Combi Bendita Cerveza</x:v>
      </x:c>
      <x:c r="D63" s="30" t="str">
        <x:v>Cervecería / bar</x:v>
      </x:c>
      <x:c r="E63" s="30" t="str">
        <x:v>Carrera 22 No. 74-02</x:v>
      </x:c>
      <x:c r="F63" s="30" t="str">
        <x:v>Amigos / Pareja</x:v>
      </x:c>
      <x:c r="G63" s="30" t="str">
        <x:v>Plan de cervezas artesanales.</x:v>
      </x:c>
      <x:c r="H63" s="31" t="n">
        <x:v>45000</x:v>
      </x:c>
      <x:c r="I63" s="30" t="str">
        <x:v>$30.000 - $70.000</x:v>
      </x:c>
      <x:c r="J63" s="30" t="str">
        <x:v>Costo estimado por bebidas.</x:v>
      </x:c>
      <x:c r="K63" s="30" t="str">
        <x:v>https://distritocreativosanfelipe.com/Detalle/6/entretenimiento/32/combi-bendita-cerveza/</x:v>
      </x:c>
    </x:row>
    <x:row r="64" ht="26.399999618530273" hidden="0" customHeight="1">
      <x:c r="A64" s="30" t="n">
        <x:v>63</x:v>
      </x:c>
      <x:c r="B64" s="30" t="str">
        <x:v>Entretenimiento</x:v>
      </x:c>
      <x:c r="C64" s="30" t="str">
        <x:v>Barbaros Brewing Co</x:v>
      </x:c>
      <x:c r="D64" s="30" t="str">
        <x:v>Cervecería independiente</x:v>
      </x:c>
      <x:c r="E64" s="30" t="str">
        <x:v>Carrera 24 # 78 - 48</x:v>
      </x:c>
      <x:c r="F64" s="30" t="str">
        <x:v>Amigos / Pareja</x:v>
      </x:c>
      <x:c r="G64" s="30" t="str">
        <x:v>Tardear o salir de noche con cerveza independiente.</x:v>
      </x:c>
      <x:c r="H64" s="31" t="n">
        <x:v>50000</x:v>
      </x:c>
      <x:c r="I64" s="30" t="str">
        <x:v>$35.000 - $80.000</x:v>
      </x:c>
      <x:c r="J64" s="30" t="str">
        <x:v>Costo estimado por cervezas + comida ligera.</x:v>
      </x:c>
      <x:c r="K64" s="30" t="str">
        <x:v>https://distritocreativosanfelipe.com/Detalle/6/entretenimiento/70/barbaros-brewing-co/</x:v>
      </x:c>
    </x:row>
    <x:row r="65" ht="26.399999618530273" hidden="0" customHeight="1">
      <x:c r="A65" s="30" t="n">
        <x:v>64</x:v>
      </x:c>
      <x:c r="B65" s="30" t="str">
        <x:v>Entretenimiento</x:v>
      </x:c>
      <x:c r="C65" s="30" t="str">
        <x:v>Tienda de la esperanza</x:v>
      </x:c>
      <x:c r="D65" s="30" t="str">
        <x:v>Bar / tienda cultural</x:v>
      </x:c>
      <x:c r="E65" s="30" t="str">
        <x:v>Cra 22 # 74-30</x:v>
      </x:c>
      <x:c r="F65" s="30" t="str">
        <x:v>Amigos / Pareja</x:v>
      </x:c>
      <x:c r="G65" s="30" t="str">
        <x:v>Plan de bebidas y ambiente alternativo.</x:v>
      </x:c>
      <x:c r="H65" s="31" t="n">
        <x:v>40000</x:v>
      </x:c>
      <x:c r="I65" s="30" t="str">
        <x:v>$25.000 - $70.000</x:v>
      </x:c>
      <x:c r="J65" s="30" t="str">
        <x:v>Costo estimado por consumo.</x:v>
      </x:c>
      <x:c r="K65" s="30" t="str">
        <x:v>https://distritocreativosanfelipe.com/Detalle/6/entretenimiento/162/tienda-de-la-esperanza/</x:v>
      </x:c>
    </x:row>
    <x:row r="66" ht="39.599998474121094" hidden="0" customHeight="1">
      <x:c r="A66" s="30" t="n">
        <x:v>65</x:v>
      </x:c>
      <x:c r="B66" s="30" t="str">
        <x:v>Entretenimiento</x:v>
      </x:c>
      <x:c r="C66" s="30" t="str">
        <x:v>Currandera Escaparate de Viches</x:v>
      </x:c>
      <x:c r="D66" s="30" t="str">
        <x:v>Bar / bebidas tradicionales</x:v>
      </x:c>
      <x:c r="E66" s="30" t="str">
        <x:v>Calle 74 #20C-59</x:v>
      </x:c>
      <x:c r="F66" s="30" t="str">
        <x:v>Amigos / Pareja</x:v>
      </x:c>
      <x:c r="G66" s="30" t="str">
        <x:v>Degustar viches y bebidas tradicionales del Pacífico.</x:v>
      </x:c>
      <x:c r="H66" s="31" t="n">
        <x:v>45000</x:v>
      </x:c>
      <x:c r="I66" s="30" t="str">
        <x:v>$30.000 - $80.000</x:v>
      </x:c>
      <x:c r="J66" s="30" t="str">
        <x:v>La fuente oficial no muestra dirección en la parte capturada; costo estimado por consumo. Dirección actualizada/verificada con fuente complementaria.</x:v>
      </x:c>
      <x:c r="K66" s="30" t="str">
        <x:v>https://distritocreativosanfelipe.com/Detalle/6/entretenimiento/152/currandera-escaparate-de-viches/</x:v>
      </x:c>
      <x:c r="L66" t="str">
        <x:v>https://distritocreativosanfelipe.com/Detalle/6/entretenimiento/152/currandera-escaparate-de-viches/</x:v>
      </x:c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conditionalFormatting sqref="H2:H66">
    <x:cfRule type="dataBar" priority="1">
      <x:dataBar>
        <x:cfvo type="min"/>
        <x:cfvo type="max"/>
        <x:color rgb="B08968"/>
      </x:dataBar>
      <x:extLst>
        <x:ext xmlns:x14="http://schemas.microsoft.com/office/spreadsheetml/2009/9/main" uri="{B025F937-C7B1-47D3-B67F-A62EFF666E3E}">
          <x14:id>{54D68C25-DFB2-E941-C939-F717E561892F}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86862de24bb450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4D68C25-DFB2-E941-C939-F717E561892F}">
            <x14:dataBar gradient="1">
              <x14:cfvo type="min"/>
              <x14:cfvo type="max"/>
              <x14:fillColor rgb="B08968"/>
            </x14:dataBar>
          </x14:cfRule>
          <xm:sqref>H2:H66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4" hidden="0" customWidth="1"/>
    <x:col min="4" max="4" width="45" hidden="0" customWidth="1"/>
  </x:cols>
  <x:sheetData>
    <x:row r="1" ht="19.200000762939453" hidden="0" customHeight="1">
      <x:c r="A1" s="38" t="str">
        <x:v>Resumen del directorio San Felipe</x:v>
      </x:c>
      <x:c r="B1" s="32" t="str"/>
      <x:c r="C1" s="32" t="str"/>
      <x:c r="D1" s="32" t="str"/>
      <x:c r="E1" s="32"/>
      <x:c r="F1" s="32"/>
      <x:c r="G1" s="32"/>
      <x:c r="H1" s="32"/>
      <x:c r="I1" s="32"/>
      <x:c r="J1" s="32"/>
      <x:c r="K1" s="32"/>
    </x:row>
    <x:row r="2" ht="15" hidden="0" customHeight="1">
      <x:c r="A2" s="39" t="str">
        <x:v>Fecha de elaboración</x:v>
      </x:c>
      <x:c r="B2" s="39" t="str">
        <x:v>2026-05-08</x:v>
      </x:c>
      <x:c r="C2" s="39" t="str"/>
      <x:c r="D2" s="39" t="str"/>
      <x:c r="E2" s="32"/>
      <x:c r="F2" s="32"/>
      <x:c r="G2" s="32"/>
      <x:c r="H2" s="32"/>
      <x:c r="I2" s="32"/>
      <x:c r="J2" s="32"/>
      <x:c r="K2" s="32"/>
    </x:row>
    <x:row r="3" ht="52.79999923706055" hidden="0" customHeight="1">
      <x:c r="A3" s="39" t="str">
        <x:v>Fuente base</x:v>
      </x:c>
      <x:c r="B3" s="39" t="str">
        <x:v>Directorio oficial del Distrito Creativo San Felipe y fuentes oficiales/complementarias por establecimiento.</x:v>
      </x:c>
      <x:c r="C3" s="39" t="str"/>
      <x:c r="D3" s="39" t="str"/>
      <x:c r="E3" s="32"/>
      <x:c r="F3" s="32"/>
      <x:c r="G3" s="32"/>
      <x:c r="H3" s="32"/>
      <x:c r="I3" s="32"/>
      <x:c r="J3" s="32"/>
      <x:c r="K3" s="32"/>
    </x:row>
    <x:row r="4" ht="52.79999923706055" hidden="0" customHeight="1">
      <x:c r="A4" s="39" t="str">
        <x:v>Nota</x:v>
      </x:c>
      <x:c r="B4" s="39" t="str">
        <x:v>Costos son estimaciones por persona; direcciones faltantes fueron completadas con fuentes oficiales o complementarias.</x:v>
      </x:c>
      <x:c r="C4" s="39" t="str"/>
      <x:c r="D4" s="39" t="str"/>
      <x:c r="E4" s="32"/>
      <x:c r="F4" s="32"/>
      <x:c r="G4" s="32"/>
      <x:c r="H4" s="32"/>
      <x:c r="I4" s="32"/>
      <x:c r="J4" s="32"/>
      <x:c r="K4" s="32"/>
    </x:row>
    <x:row r="5" ht="15" hidden="0" customHeight="1">
      <x:c r="A5" s="39" t="str"/>
      <x:c r="B5" s="39" t="str"/>
      <x:c r="C5" s="39" t="str"/>
      <x:c r="D5" s="39" t="str"/>
      <x:c r="E5" s="32"/>
      <x:c r="F5" s="32"/>
      <x:c r="G5" s="32"/>
      <x:c r="H5" s="32"/>
      <x:c r="I5" s="32"/>
      <x:c r="J5" s="32"/>
      <x:c r="K5" s="32"/>
    </x:row>
    <x:row r="6" ht="15" hidden="0" customHeight="1">
      <x:c r="A6" s="28" t="str">
        <x:v>Categoría</x:v>
      </x:c>
      <x:c r="B6" s="28" t="str">
        <x:v>Número de establecimientos</x:v>
      </x:c>
      <x:c r="C6" s="28" t="str">
        <x:v>Costo promedio estimado</x:v>
      </x:c>
      <x:c r="D6" s="28" t="str">
        <x:v>Perfil más común / uso</x:v>
      </x:c>
      <x:c r="E6" s="32"/>
      <x:c r="F6" s="32"/>
      <x:c r="G6" s="32"/>
      <x:c r="H6" s="32"/>
      <x:c r="I6" s="32"/>
      <x:c r="J6" s="32"/>
      <x:c r="K6" s="32"/>
    </x:row>
    <x:row r="7" ht="15" hidden="0" customHeight="1">
      <x:c r="A7" s="39" t="str">
        <x:v>Galerías y talleres</x:v>
      </x:c>
      <x:c r="B7" s="39" t="n">
        <x:f>COUNTIF(Establecimientos!B:B,"Galerías y talleres")</x:f>
        <x:v>25</x:v>
      </x:c>
      <x:c r="C7" s="40" t="n">
        <x:f>AVERAGEIF(Establecimientos!B:B,"Galerías y talleres",Establecimientos!H:H)</x:f>
        <x:v>14000</x:v>
      </x:c>
      <x:c r="D7" s="39" t="str">
        <x:v>Recorridos culturales, arte, talleres y eventos</x:v>
      </x:c>
      <x:c r="E7" s="32"/>
      <x:c r="F7" s="32"/>
      <x:c r="G7" s="32"/>
      <x:c r="H7" s="32"/>
      <x:c r="I7" s="32"/>
      <x:c r="J7" s="32"/>
      <x:c r="K7" s="32"/>
    </x:row>
    <x:row r="8" ht="15" hidden="0" customHeight="1">
      <x:c r="A8" s="39" t="str">
        <x:v>Donde Comer</x:v>
      </x:c>
      <x:c r="B8" s="39" t="n">
        <x:f>COUNTIF(Establecimientos!B:B,"Donde Comer")</x:f>
        <x:v>33</x:v>
      </x:c>
      <x:c r="C8" s="40" t="n">
        <x:f>AVERAGEIF(Establecimientos!B:B,"Donde Comer",Establecimientos!H:H)</x:f>
        <x:v>35757.57575757576</x:v>
      </x:c>
      <x:c r="D8" s="39" t="str">
        <x:v>Gastronomía, cafés, postres y restaurantes</x:v>
      </x:c>
      <x:c r="E8" s="32"/>
      <x:c r="F8" s="32"/>
      <x:c r="G8" s="32"/>
      <x:c r="H8" s="32"/>
      <x:c r="I8" s="32"/>
      <x:c r="J8" s="32"/>
      <x:c r="K8" s="32"/>
    </x:row>
    <x:row r="9" ht="15" hidden="0" customHeight="1">
      <x:c r="A9" s="39" t="str">
        <x:v>Entretenimiento</x:v>
      </x:c>
      <x:c r="B9" s="39" t="n">
        <x:f>COUNTIF(Establecimientos!B:B,"Entretenimiento")</x:f>
        <x:v>7</x:v>
      </x:c>
      <x:c r="C9" s="40" t="n">
        <x:f>AVERAGEIF(Establecimientos!B:B,"Entretenimiento",Establecimientos!H:H)</x:f>
        <x:v>45714.28571428572</x:v>
      </x:c>
      <x:c r="D9" s="39" t="str">
        <x:v>Bares, cervecerías, tejo y bolirana</x:v>
      </x:c>
      <x:c r="E9" s="32"/>
      <x:c r="F9" s="32"/>
      <x:c r="G9" s="32"/>
      <x:c r="H9" s="32"/>
      <x:c r="I9" s="32"/>
      <x:c r="J9" s="32"/>
      <x:c r="K9" s="32"/>
    </x:row>
    <x:row r="10" ht="15" hidden="0" customHeight="1">
      <x:c r="A10" s="39" t="str">
        <x:v>TOTAL</x:v>
      </x:c>
      <x:c r="B10" s="39" t="n">
        <x:f>COUNTA(Establecimientos!A2:A66)</x:f>
        <x:v>65</x:v>
      </x:c>
      <x:c r="C10" s="40" t="n">
        <x:f>AVERAGE(Establecimientos!H2:H66)</x:f>
        <x:v>28461.53846153846</x:v>
      </x:c>
      <x:c r="D10" s="39" t="str">
        <x:v>Universo inventariado del directorio</x:v>
      </x:c>
      <x:c r="E10" s="32"/>
      <x:c r="F10" s="32"/>
      <x:c r="G10" s="32"/>
      <x:c r="H10" s="32"/>
      <x:c r="I10" s="32"/>
      <x:c r="J10" s="32"/>
      <x:c r="K10" s="32"/>
    </x:row>
    <x:row r="11" ht="15" hidden="0" customHeight="1">
      <x:c r="A11" s="39" t="str"/>
      <x:c r="B11" s="39" t="str"/>
      <x:c r="C11" s="39" t="str"/>
      <x:c r="D11" s="39" t="str"/>
      <x:c r="E11" s="32"/>
      <x:c r="F11" s="32"/>
      <x:c r="G11" s="32"/>
      <x:c r="H11" s="32"/>
      <x:c r="I11" s="32"/>
      <x:c r="J11" s="32"/>
      <x:c r="K11" s="32"/>
    </x:row>
    <x:row r="12" ht="26.399999618530273" hidden="0" customHeight="1">
      <x:c r="A12" s="39" t="str">
        <x:v>Sugerencia de uso</x:v>
      </x:c>
      <x:c r="B12" s="39" t="str">
        <x:v>Filtra por Perfil ideal para armar rutas: familiar, pareja, individual o amigos.</x:v>
      </x:c>
      <x:c r="C12" s="39" t="str"/>
      <x:c r="D12" s="39" t="str"/>
      <x:c r="E12" s="32"/>
      <x:c r="F12" s="32"/>
      <x:c r="G12" s="32"/>
      <x:c r="H12" s="32"/>
      <x:c r="I12" s="32"/>
      <x:c r="J12" s="32"/>
      <x:c r="K12" s="32"/>
    </x:row>
    <x:row r="13" ht="26.399999618530273" hidden="0" customHeight="1">
      <x:c r="A13" s="39" t="str">
        <x:v>Ruta recomendada familiar</x:v>
      </x:c>
      <x:c r="B13" s="39" t="str">
        <x:v>Tertulia Librería Café + Fratto + El Azulejo / Casa Plástica</x:v>
      </x:c>
      <x:c r="C13" s="39" t="str"/>
      <x:c r="D13" s="39" t="str"/>
      <x:c r="E13" s="32"/>
      <x:c r="F13" s="32"/>
      <x:c r="G13" s="32"/>
      <x:c r="H13" s="32"/>
      <x:c r="I13" s="32"/>
      <x:c r="J13" s="32"/>
      <x:c r="K13" s="32"/>
    </x:row>
    <x:row r="14" ht="26.399999618530273" hidden="0" customHeight="1">
      <x:c r="A14" s="39" t="str">
        <x:v>Ruta recomendada pareja</x:v>
      </x:c>
      <x:c r="B14" s="39" t="str">
        <x:v>Galería Elvira Moreno + Sketch + Casa Andiamo / El Aquelarre</x:v>
      </x:c>
      <x:c r="C14" s="39" t="str"/>
      <x:c r="D14" s="39" t="str"/>
      <x:c r="E14" s="32"/>
      <x:c r="F14" s="32"/>
      <x:c r="G14" s="32"/>
      <x:c r="H14" s="32"/>
      <x:c r="I14" s="32"/>
      <x:c r="J14" s="32"/>
      <x:c r="K14" s="32"/>
    </x:row>
    <x:row r="15" ht="26.399999618530273" hidden="0" customHeight="1">
      <x:c r="A15" s="39" t="str">
        <x:v>Ruta recomendada individual</x:v>
      </x:c>
      <x:c r="B15" s="39" t="str">
        <x:v>LGM + Instituto de Visión + Montana Café y Vinilos</x:v>
      </x:c>
      <x:c r="C15" s="39" t="str"/>
      <x:c r="D15" s="39" t="str"/>
      <x:c r="E15" s="32"/>
      <x:c r="F15" s="32"/>
      <x:c r="G15" s="32"/>
      <x:c r="H15" s="32"/>
      <x:c r="I15" s="32"/>
      <x:c r="J15" s="32"/>
      <x:c r="K15" s="32"/>
    </x:row>
    <x:row r="16" ht="26.399999618530273" hidden="0" customHeight="1">
      <x:c r="A16" s="39" t="str">
        <x:v>Ruta recomendada amigos</x:v>
      </x:c>
      <x:c r="B16" s="39" t="str">
        <x:v>Puta Delicia BBQ + La Embajada Pola &amp; Tejo + Pola del Pub</x:v>
      </x:c>
      <x:c r="C16" s="39" t="str"/>
      <x:c r="D16" s="39" t="str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56aac58fe90e48e2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19.200000762939453" hidden="0" customHeight="1">
      <x:c r="A1" s="44" t="str">
        <x:v>Metodología y notas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6.399999618530273" hidden="0" customHeight="1">
      <x:c r="A2" s="39" t="str">
        <x:v>1. El universo base corresponde al directorio público del Distrito Creativo San Felipe: Galerías y talleres, Donde Comer y Entretenimiento.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 ht="26.399999618530273" hidden="0" customHeight="1">
      <x:c r="A3" s="39" t="str">
        <x:v>2. Direcciones: se tomaron del detalle oficial del Distrito Creativo cuando estaba disponible. Las filas que no tenían dirección exacta fueron verificadas con fuentes complementarias y registradas en la columna 'Fuente dirección actualizada'.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15" hidden="0" customHeight="1">
      <x:c r="A4" s="39" t="str">
        <x:v>3. El costo promedio es una estimación por persona para una visita o consumo básico. No es una tarifa oficial.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 ht="15" hidden="0" customHeight="1">
      <x:c r="A5" s="39" t="str">
        <x:v>4. Para galerías, el costo promedio refleja una visita de baja barrera económica; no incluye compra de obras ni cursos.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 ht="15" hidden="0" customHeight="1">
      <x:c r="A6" s="39" t="str">
        <x:v>5. Para restaurantes, cafés, bares y entretenimiento, el costo promedio estima consumo individual sencillo en Bogotá.</x:v>
      </x:c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 ht="15" hidden="0" customHeight="1">
      <x:c r="A7" s="39" t="str">
        <x:v>6. Antes de visitar, conviene confirmar horarios por Instagram o teléfono, porque la programación cultural cambia con frecuencia.</x:v>
      </x:c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 ht="15" hidden="0" customHeight="1">
      <x:c r="A8" s="39" t="str">
        <x:v>Actualización de direcciones</x:v>
      </x:c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 ht="26.399999618530273" hidden="0" customHeight="1">
      <x:c r="A9" s="39" t="str">
        <x:v>15 direcciones faltantes fueron buscadas y actualizadas. Cuando la fuente oficial no mostraba dirección, se usó una fuente complementaria indicada en la columna L.</x:v>
      </x:c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 ht="15" hidden="0" customHeight="1">
      <x:c r="A10" s="39" t="str">
        <x:v>Fuente base</x:v>
      </x:c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 ht="15" hidden="0" customHeight="1">
      <x:c r="A11" s="39" t="str">
        <x:v>https://distritocreativosanfelipe.com/</x:v>
      </x:c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 ht="15" hidden="0" customHeight="1">
      <x:c r="A12" s="39" t="str">
        <x:v>https://distritocreativosanfelipe.com/Seccion/2/galerias/</x:v>
      </x:c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 ht="15" hidden="0" customHeight="1">
      <x:c r="A13" s="39" t="str">
        <x:v>https://distritocreativosanfelipe.com/Seccion/3/donde-comer/</x:v>
      </x:c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 ht="15" hidden="0" customHeight="1">
      <x:c r="A14" s="39" t="str">
        <x:v>https://distritocreativosanfelipe.com/Seccion/6/entretenimiento/</x:v>
      </x:c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pageMargins left="0.7" right="0.7" top="0.75" bottom="0.75" header="0.3" footer="0.3"/>
</x:worksheet>
</file>