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carloszulmor_unisabana_edu_co/Documents/Desktop/Universidad/2026-1/Hackathon UniMilitar/"/>
    </mc:Choice>
  </mc:AlternateContent>
  <xr:revisionPtr revIDLastSave="0" documentId="11_2CBCE35E7B6875CB5F0A098E990B27197C0AF50E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ablecimientos" sheetId="1" r:id="rId1"/>
    <sheet name="Resumen" sheetId="2" r:id="rId2"/>
    <sheet name="Notas" sheetId="3" r:id="rId3"/>
    <sheet name="Notas imágenes" sheetId="4" r:id="rId4"/>
    <sheet name="Notas pet friendly" sheetId="5" r:id="rId5"/>
  </sheets>
  <calcPr calcId="0"/>
</workbook>
</file>

<file path=xl/calcChain.xml><?xml version="1.0" encoding="utf-8"?>
<calcChain xmlns="http://schemas.openxmlformats.org/spreadsheetml/2006/main">
  <c r="C10" i="2" l="1"/>
  <c r="B10" i="2"/>
  <c r="C9" i="2"/>
  <c r="B9" i="2"/>
  <c r="C8" i="2"/>
  <c r="B8" i="2"/>
  <c r="C7" i="2"/>
  <c r="B7" i="2"/>
</calcChain>
</file>

<file path=xl/sharedStrings.xml><?xml version="1.0" encoding="utf-8"?>
<sst xmlns="http://schemas.openxmlformats.org/spreadsheetml/2006/main" count="1370" uniqueCount="619">
  <si>
    <t>ID</t>
  </si>
  <si>
    <t>Categoría</t>
  </si>
  <si>
    <t>Nombre</t>
  </si>
  <si>
    <t>Tipo de establecimiento</t>
  </si>
  <si>
    <t>Dirección</t>
  </si>
  <si>
    <t>Perfil ideal</t>
  </si>
  <si>
    <t>Plan sugerido</t>
  </si>
  <si>
    <t>Costo promedio estimado por persona (COP)</t>
  </si>
  <si>
    <t>Rango costo</t>
  </si>
  <si>
    <t>Observaciones</t>
  </si>
  <si>
    <t>Fuente URL</t>
  </si>
  <si>
    <t>Fuente dirección actualizada</t>
  </si>
  <si>
    <t>Link imagen principal</t>
  </si>
  <si>
    <t>Tipo de imagen</t>
  </si>
  <si>
    <t>Fuente de imagen</t>
  </si>
  <si>
    <t>Observación imagen</t>
  </si>
  <si>
    <t>Link alternativo / búsqueda visual</t>
  </si>
  <si>
    <t>Pet friendly</t>
  </si>
  <si>
    <t>Estado verificación pet friendly</t>
  </si>
  <si>
    <t>Fuente pet friendly</t>
  </si>
  <si>
    <t>Logo / imagen oficial</t>
  </si>
  <si>
    <t>Tipo logo / imagen</t>
  </si>
  <si>
    <t>Imagen sitio físico o página visual</t>
  </si>
  <si>
    <t>Observación imagen física</t>
  </si>
  <si>
    <t>Fecha revisión</t>
  </si>
  <si>
    <t>Galerías y talleres</t>
  </si>
  <si>
    <t>Adrian Ibañez Galeria</t>
  </si>
  <si>
    <t>Galería de arte contemporáneo</t>
  </si>
  <si>
    <t>Calle 72 A # 22-35</t>
  </si>
  <si>
    <t>Individual / Pareja</t>
  </si>
  <si>
    <t>Recorrer exposición actual y tomar fotos de arte contemporáneo.</t>
  </si>
  <si>
    <t>$0 - $20.000</t>
  </si>
  <si>
    <t>Costo estimado: entrada normalmente baja/gratuita; depende de exposición o evento.</t>
  </si>
  <si>
    <t>https://distritocreativosanfelipe.com/Detalle/2/galerias-espacios-y-talleres/1/adrian-ibanez-galeria/</t>
  </si>
  <si>
    <t>https://distritocreativosanfelipe.com/logos/aibanezgal1.png</t>
  </si>
  <si>
    <t>Imagen oficial/logo del directorio</t>
  </si>
  <si>
    <t>https://distritocreativosanfelipe.com/Seccion/2/galerias/</t>
  </si>
  <si>
    <t>Imagen encontrada en el sitio/directorio del Distrito Creativo San Felipe.</t>
  </si>
  <si>
    <t>No verificado</t>
  </si>
  <si>
    <t>No encontré una fuente pública clara que confirme si acepta mascotas; confirmar directamente con el establecimiento.</t>
  </si>
  <si>
    <t>Logo oficial/directorio</t>
  </si>
  <si>
    <t>No se encontró imagen física pública clara; se conserva logo/imagen del directorio.</t>
  </si>
  <si>
    <t>2026-05-08</t>
  </si>
  <si>
    <t>Galería Elvira Moreno</t>
  </si>
  <si>
    <t>Galería de arte</t>
  </si>
  <si>
    <t>Cra. 23 # 72A - 61</t>
  </si>
  <si>
    <t>Visita de galería para ver arte latinoamericano contemporáneo y moderno.</t>
  </si>
  <si>
    <t>Dirección tomada de la página de contacto de la galería; compra de obra no incluida.</t>
  </si>
  <si>
    <t>https://galeriaelviramoreno.com/es/contact/</t>
  </si>
  <si>
    <t>https://distritocreativosanfelipe.com/logos/emlogo.png</t>
  </si>
  <si>
    <t>LGM Galería</t>
  </si>
  <si>
    <t>Calle 73 # 20C - 73</t>
  </si>
  <si>
    <t>Ver exposición curada y conocer artistas contemporáneos consolidados.</t>
  </si>
  <si>
    <t>Compra de arte no incluida; costo estimado para visita.</t>
  </si>
  <si>
    <t>https://distritocreativosanfelipe.com/Detalle/2/galerias-espacios-y-talleres/5/lgm-galeria/</t>
  </si>
  <si>
    <t>https://distritocreativosanfelipe.com/logos/lgmlogo.png</t>
  </si>
  <si>
    <t>Sketch</t>
  </si>
  <si>
    <t>Carrera 23 # 77 - 41</t>
  </si>
  <si>
    <t>Recorrido por dibujo, instalación y exposiciones emergentes.</t>
  </si>
  <si>
    <t>Costo estimado para visita; talleres/eventos pueden variar.</t>
  </si>
  <si>
    <t>https://distritocreativosanfelipe.com/Detalle/2/galerias-espacios-y-talleres/6/sketch/</t>
  </si>
  <si>
    <t>https://distritocreativosanfelipe.com/logos/sketchlogo.png</t>
  </si>
  <si>
    <t>Plural Nodo Cultural</t>
  </si>
  <si>
    <t>Nodo cultural / espacio artístico</t>
  </si>
  <si>
    <t>Calle 72A # 22 - 62</t>
  </si>
  <si>
    <t>Visita a proyectos de arte contemporáneo y espacios de inclusión cultural.</t>
  </si>
  <si>
    <t>Costo estimado; revisar agenda antes de visitar.</t>
  </si>
  <si>
    <t>https://distritocreativosanfelipe.com/Detalle/2/galerias-espacios-y-talleres/8/plural-nodo-cultural/</t>
  </si>
  <si>
    <t>https://distritocreativosanfelipe.com/logos/plurallogo.png</t>
  </si>
  <si>
    <t>Estudio 74</t>
  </si>
  <si>
    <t>Espacio cultural / galería</t>
  </si>
  <si>
    <t>Calle 74A # 20C - 75</t>
  </si>
  <si>
    <t>Exhibición, venta y formación en arte contemporáneo.</t>
  </si>
  <si>
    <t>$0 - $30.000</t>
  </si>
  <si>
    <t>Puede incluir eventos o formación; compra de obra no incluida.</t>
  </si>
  <si>
    <t>https://distritocreativosanfelipe.com/Detalle/2/galerias-espacios-y-talleres/40/estudio-74/</t>
  </si>
  <si>
    <t>https://distritocreativosanfelipe.com/logos/estudio74logo.png</t>
  </si>
  <si>
    <t>El Infierno Galeria</t>
  </si>
  <si>
    <t>Galería de arte urbano</t>
  </si>
  <si>
    <t>Calle 74A #22-57</t>
  </si>
  <si>
    <t>Individual / Amigos</t>
  </si>
  <si>
    <t>Explorar arte urbano y propuestas alternativas.</t>
  </si>
  <si>
    <t>La fuente oficial no muestra dirección en la página consultada. Dirección actualizada/verificada con fuente complementaria.</t>
  </si>
  <si>
    <t>https://distritocreativosanfelipe.com/Detalle/2/galerias-espacios-y-talleres/41/el-infierno-galeria/</t>
  </si>
  <si>
    <t>https://www.instagram.com/p/Cr9OwdTgG8v/</t>
  </si>
  <si>
    <t>https://distritocreativosanfelipe.com/logos/elinfiernologo.png</t>
  </si>
  <si>
    <t>Espacio KB</t>
  </si>
  <si>
    <t>Espacio cultural + restaurante/bar</t>
  </si>
  <si>
    <t>Calle 74 No. 22-20</t>
  </si>
  <si>
    <t>Pareja / Amigos</t>
  </si>
  <si>
    <t>Ver exposición y complementar con comida o bebida en el espacio.</t>
  </si>
  <si>
    <t>$20.000 - $60.000</t>
  </si>
  <si>
    <t>Mezcla arte, eventos alternativos y oferta gastronómica.</t>
  </si>
  <si>
    <t>https://distritocreativosanfelipe.com/Detalle/2/galerias-espacios-y-talleres/42/espacio-kb/</t>
  </si>
  <si>
    <t>https://distritocreativosanfelipe.com/logos/kblogo.png</t>
  </si>
  <si>
    <t>Casa Plástica</t>
  </si>
  <si>
    <t>Centro cultural / artes audiovisuales y escénicas</t>
  </si>
  <si>
    <t>Calle 75 A No. 22-24</t>
  </si>
  <si>
    <t>Familiar / Amigos</t>
  </si>
  <si>
    <t>Asistir a experiencias artísticas, audiovisuales o escénicas.</t>
  </si>
  <si>
    <t>$0 - $50.000</t>
  </si>
  <si>
    <t>Costo depende de programación, taller o evento.</t>
  </si>
  <si>
    <t>https://distritocreativosanfelipe.com/Detalle/2/galerias-espacios-y-talleres/43/casa-plastica/</t>
  </si>
  <si>
    <t>https://distritocreativosanfelipe.com/logos/casaplasticalogo.png</t>
  </si>
  <si>
    <t>Gallery - Juanita Echeverry</t>
  </si>
  <si>
    <t>Galería / taller de artista</t>
  </si>
  <si>
    <t>Carrera 22 No 74-22</t>
  </si>
  <si>
    <t>Conocer obra en resina y arte de autor.</t>
  </si>
  <si>
    <t>Costo estimado para visita; compra de obra no incluida.</t>
  </si>
  <si>
    <t>https://distritocreativosanfelipe.com/Detalle/2/galerias-espacios-y-talleres/44/gallery-juanita-echeverry/</t>
  </si>
  <si>
    <t>https://distritocreativosanfelipe.com/logos/juanitaecheverrylogo.png</t>
  </si>
  <si>
    <t>Casa Valhalla</t>
  </si>
  <si>
    <t>Centro cultural / sala de eventos</t>
  </si>
  <si>
    <t>Carrera 22 # 74-31</t>
  </si>
  <si>
    <t>Plan de arte en vivo, eventos, música y bebidas.</t>
  </si>
  <si>
    <t>$20.000 - $70.000</t>
  </si>
  <si>
    <t>Costo depende del evento y consumo.</t>
  </si>
  <si>
    <t>https://distritocreativosanfelipe.com/Detalle/2/galerias-espacios-y-talleres/45/casa-valhalla/</t>
  </si>
  <si>
    <t>https://distritocreativosanfelipe.com/logos/valhalalogo.jpg</t>
  </si>
  <si>
    <t>Cùrcuma Art Center</t>
  </si>
  <si>
    <t>Centro de arte / incubadora creativa</t>
  </si>
  <si>
    <t>Recorrer exposiciones de creadores emergentes.</t>
  </si>
  <si>
    <t>Costo estimado para visita; revisar programación.</t>
  </si>
  <si>
    <t>https://distritocreativosanfelipe.com/Detalle/2/galerias-espacios-y-talleres/47/curcuma-art-center/</t>
  </si>
  <si>
    <t>https://distritocreativosanfelipe.com/logos/curcumalogo</t>
  </si>
  <si>
    <t>Firma de Arte</t>
  </si>
  <si>
    <t>Firma / comercialización de arte</t>
  </si>
  <si>
    <t>Calle 72 A # 22-58</t>
  </si>
  <si>
    <t>Explorar arte como inversión y piezas para colección.</t>
  </si>
  <si>
    <t>Compra de obra no incluida en costo promedio.</t>
  </si>
  <si>
    <t>https://distritocreativosanfelipe.com/Detalle/2/galerias-espacios-y-talleres/48/firma-de-arte/</t>
  </si>
  <si>
    <t>https://distritocreativosanfelipe.com/logos/morvelalogo.png</t>
  </si>
  <si>
    <t>Enter</t>
  </si>
  <si>
    <t>Club de arte / galería / música</t>
  </si>
  <si>
    <t>Calle 75A #23-10</t>
  </si>
  <si>
    <t>Amigos / Pareja</t>
  </si>
  <si>
    <t>Plan nocturno de arte, música y experiencias alternativas.</t>
  </si>
  <si>
    <t>La fuente oficial no muestra dirección; costo depende de evento/consumo. Dirección actualizada/verificada con fuente complementaria.</t>
  </si>
  <si>
    <t>https://distritocreativosanfelipe.com/Detalle/2/galerias-espacios-y-talleres/50/enter/</t>
  </si>
  <si>
    <t>https://es.ra.co/events/2277472</t>
  </si>
  <si>
    <t>https://distritocreativosanfelipe.com/logos/enterlogo.png</t>
  </si>
  <si>
    <t>Proyecto Binario</t>
  </si>
  <si>
    <t>Productora / proyecto artístico</t>
  </si>
  <si>
    <t>Calle 72A #22-39</t>
  </si>
  <si>
    <t>Individual / Creativos</t>
  </si>
  <si>
    <t>Conectar con proyectos artísticos y producción cultural.</t>
  </si>
  <si>
    <t>La fuente oficial no muestra dirección específica. Dirección actualizada/verificada con fuente complementaria.</t>
  </si>
  <si>
    <t>https://distritocreativosanfelipe.com/Detalle/2/galerias-espacios-y-talleres/51/proyecto-binario/</t>
  </si>
  <si>
    <t>https://www.proyectobinario.com/contacto</t>
  </si>
  <si>
    <t>https://distritocreativosanfelipe.com/logos/proyectobinario</t>
  </si>
  <si>
    <t>BEAT BOP</t>
  </si>
  <si>
    <t>Galería / proyecto de arte urbano</t>
  </si>
  <si>
    <t>Calle 75A #20C-12</t>
  </si>
  <si>
    <t>Arte contemporáneo y posible ruta de arte urbano Street Project.</t>
  </si>
  <si>
    <t>La fuente oficial no muestra dirección; revisar Instagram/proyecto antes de visitar. Dirección actualizada/verificada con fuente complementaria.</t>
  </si>
  <si>
    <t>https://distritocreativosanfelipe.com/Detalle/2/galerias-espacios-y-talleres/52/beat-bop/</t>
  </si>
  <si>
    <t>https://www.facebook.com/beatbopgallery/</t>
  </si>
  <si>
    <t>https://distritocreativosanfelipe.com/logos/beatpop.png</t>
  </si>
  <si>
    <t>Proceso Art Gallery</t>
  </si>
  <si>
    <t>Carrera 23 #73-38</t>
  </si>
  <si>
    <t>Visita corta a espacio de exposición artística.</t>
  </si>
  <si>
    <t>La fuente oficial no muestra dirección. Dirección actualizada/verificada con fuente complementaria.</t>
  </si>
  <si>
    <t>https://distritocreativosanfelipe.com/Detalle/2/galerias-espacios-y-talleres/54/proceso-art-gallery/</t>
  </si>
  <si>
    <t>https://culturarecreacionydeporte.gov.co/es/eventos/una-velada-de-galerias-y-jazz-en-san-felipe</t>
  </si>
  <si>
    <t>https://distritocreativosanfelipe.com/logos/procesoart.png</t>
  </si>
  <si>
    <t>Instituto De Vision</t>
  </si>
  <si>
    <t>Galería de arte conceptual</t>
  </si>
  <si>
    <t>Carrera 23 # 76-74</t>
  </si>
  <si>
    <t>Ver prácticas conceptuales latinoamericanas y exposiciones críticas.</t>
  </si>
  <si>
    <t>https://distritocreativosanfelipe.com/Detalle/2/galerias-espacios-y-talleres/58/instituto-de-vision/</t>
  </si>
  <si>
    <t>https://distritocreativosanfelipe.com/logos/institutovision.png</t>
  </si>
  <si>
    <t>Galeria Akira Films</t>
  </si>
  <si>
    <t>Galería / cine / arte audiovisual</t>
  </si>
  <si>
    <t>Calle 74A #22-77</t>
  </si>
  <si>
    <t>Espacio para explorar arte audiovisual o cine creativo.</t>
  </si>
  <si>
    <t>https://distritocreativosanfelipe.com/Detalle/2/galerias-espacios-y-talleres/57/galeria-akira-films/</t>
  </si>
  <si>
    <t>https://www.facebook.com/akiracine/mentions/</t>
  </si>
  <si>
    <t>https://distritocreativosanfelipe.com/logos/akiralogo.png</t>
  </si>
  <si>
    <t>SGR GALERIA</t>
  </si>
  <si>
    <t>Carrera 24 # 77 - 55</t>
  </si>
  <si>
    <t>Recorrer exposiciones de arte contemporáneo latinoamericano.</t>
  </si>
  <si>
    <t>https://distritocreativosanfelipe.com/Detalle/2/galerias-espacios-y-talleres/59/sgr-galeria/</t>
  </si>
  <si>
    <t>https://distritocreativosanfelipe.com/logos/sgrgaleria.png</t>
  </si>
  <si>
    <t>Casa 4</t>
  </si>
  <si>
    <t>Espacio cultural</t>
  </si>
  <si>
    <t>Calle 75A #22-30</t>
  </si>
  <si>
    <t>Conocer espacio cultural creado para promover artes.</t>
  </si>
  <si>
    <t>https://distritocreativosanfelipe.com/Detalle/2/galerias-espacios-y-talleres/72/casa-4/</t>
  </si>
  <si>
    <t>https://www.alejandrofischer.com/nsf/open-san-felipe/</t>
  </si>
  <si>
    <t>https://distritocreativosanfelipe.com/logos/casa4logo.png</t>
  </si>
  <si>
    <t>Compacta</t>
  </si>
  <si>
    <t>Espacio artístico autogestionado</t>
  </si>
  <si>
    <t>Calle 75 #22-73</t>
  </si>
  <si>
    <t>Explorar prácticas artísticas en formato independiente.</t>
  </si>
  <si>
    <t>https://distritocreativosanfelipe.com/Detalle/2/galerias-espacios-y-talleres/73/compacta/</t>
  </si>
  <si>
    <t>https://www.instagram.com/p/C6MhmR2JFX4/</t>
  </si>
  <si>
    <t>https://distritocreativosanfelipe.com/logos/compactalogo.png</t>
  </si>
  <si>
    <t>LA ZINETECA</t>
  </si>
  <si>
    <t>Espacio autogestionado de creación</t>
  </si>
  <si>
    <t>Calle 73 # 20C - 38, oficina 302</t>
  </si>
  <si>
    <t>Ver proyectos artísticos autogestionados y de circulación cultural.</t>
  </si>
  <si>
    <t>Costo estimado; revisar programación.</t>
  </si>
  <si>
    <t>https://distritocreativosanfelipe.com/Detalle/2/galerias-espacios-y-talleres/125/la-zineteca/</t>
  </si>
  <si>
    <t>https://distritocreativosanfelipe.com/logos/lazinetecalogo.png</t>
  </si>
  <si>
    <t>El Azulejo de San Felipe</t>
  </si>
  <si>
    <t>Espacio polivalente artístico</t>
  </si>
  <si>
    <t>Calle 78 # 22 - 61</t>
  </si>
  <si>
    <t>Familiar / Pareja</t>
  </si>
  <si>
    <t>Exposiciones, eventos y talleres artísticos.</t>
  </si>
  <si>
    <t>Costo depende de evento o taller.</t>
  </si>
  <si>
    <t>https://distritocreativosanfelipe.com/Detalle/2/galerias-espacios-y-talleres/161/el-azulejo-de-san-felipe/</t>
  </si>
  <si>
    <t>https://distritocreativosanfelipe.com/logos/azulejologo2.jpg</t>
  </si>
  <si>
    <t>Casa EQP</t>
  </si>
  <si>
    <t>Calle 74 No. 22-80</t>
  </si>
  <si>
    <t>Visita a espacio cultural del directorio San Felipe.</t>
  </si>
  <si>
    <t>La página oficial lo lista, pero no muestra dirección en la consulta. Dirección actualizada/verificada con fuente complementaria.</t>
  </si>
  <si>
    <t>https://distritocreativosanfelipe.com/Detalle/2/galerias-espacios-y-talleres/117/casa-eqp/</t>
  </si>
  <si>
    <t>Sin imagen directa pública en el directorio</t>
  </si>
  <si>
    <t>No se encontró una URL directa de imagen en el directorio oficial; se deja fuente visual alternativa para revisión manual.</t>
  </si>
  <si>
    <t>https://www.instagram.com/elquintopulgar_/</t>
  </si>
  <si>
    <t>Sin imagen oficial directa</t>
  </si>
  <si>
    <t>Donde Comer</t>
  </si>
  <si>
    <t>Pizza Di Corleone</t>
  </si>
  <si>
    <t>Restaurante / pizza italiana</t>
  </si>
  <si>
    <t>Calle 75 # 22-20</t>
  </si>
  <si>
    <t>Comer pizza de masa madurada después de recorrer galerías.</t>
  </si>
  <si>
    <t>$30.000 - $60.000</t>
  </si>
  <si>
    <t>Costo estimado por persona con bebida.</t>
  </si>
  <si>
    <t>https://distritocreativosanfelipe.com/Detalle/3/donde-comer/11/pizza-di-corleone/</t>
  </si>
  <si>
    <t>https://distritocreativosanfelipe.com/logos/corleonelogo.png</t>
  </si>
  <si>
    <t>https://distritocreativosanfelipe.com/Seccion/3/donde-comer/</t>
  </si>
  <si>
    <t>Sí</t>
  </si>
  <si>
    <t>Publicación de Instagram de Pizza Di Corleone indica zona pet friendly.</t>
  </si>
  <si>
    <t>https://www.instagram.com/p/CZDB7wyu_cq/</t>
  </si>
  <si>
    <t>https://www.instagram.com/dicorleonepizza/</t>
  </si>
  <si>
    <t>Instagram oficial con fotos del local/productos.</t>
  </si>
  <si>
    <t>Ahumao cilindro Peruano</t>
  </si>
  <si>
    <t>Restaurante peruano / sanguchería</t>
  </si>
  <si>
    <t>Cra 22 #75-33</t>
  </si>
  <si>
    <t>Amigos / Familiar</t>
  </si>
  <si>
    <t>Probar sanguches criollos, ceviches y platos peruanos.</t>
  </si>
  <si>
    <t>Costo estimado por persona.</t>
  </si>
  <si>
    <t>https://distritocreativosanfelipe.com/Detalle/3/donde-comer/12/ahumao-cilindro-peruano/</t>
  </si>
  <si>
    <t>https://distritocreativosanfelipe.com/logos/ahumaologo.png</t>
  </si>
  <si>
    <t>Verificar</t>
  </si>
  <si>
    <t>Fuente de evento Noche San Felipe menciona pet friendly; confirmar política diaria del local.</t>
  </si>
  <si>
    <t>https://www.facebook.com/nochesanfelipe/posts/o-qu%C3%A9-tal-un-men%C3%BA-peruano-para-este-s%C3%A1bado-ahumao-cilindro-peruano-te-va-a-encan/3338530212911921/</t>
  </si>
  <si>
    <t>La Merenderia</t>
  </si>
  <si>
    <t>Restaurante y pastelería</t>
  </si>
  <si>
    <t>Cra 22 # 75A - 42</t>
  </si>
  <si>
    <t>Familiar / Individual</t>
  </si>
  <si>
    <t>Almuerzo casero o merienda en ambiente acogedor.</t>
  </si>
  <si>
    <t>$18.000 - $40.000</t>
  </si>
  <si>
    <t>Costo estimado para almuerzo/merienda.</t>
  </si>
  <si>
    <t>https://distritocreativosanfelipe.com/Detalle/3/donde-comer/13/la-merenderia/</t>
  </si>
  <si>
    <t>https://distritocreativosanfelipe.com/logos/merenderialogo.png</t>
  </si>
  <si>
    <t>Puta Delicia BBQ</t>
  </si>
  <si>
    <t>Restaurante BBQ</t>
  </si>
  <si>
    <t>Cra. 23 #75A - 33</t>
  </si>
  <si>
    <t>Comer brisket, carnes ahumadas y platos texan BBQ.</t>
  </si>
  <si>
    <t>$45.000 - $80.000</t>
  </si>
  <si>
    <t>Costo estimado; dirección tomada de fuente oficial/Tripadvisor.</t>
  </si>
  <si>
    <t>https://distritocreativosanfelipe.com/Detalle/3/gastronomia/18/puta-delicia-bbq/</t>
  </si>
  <si>
    <t>https://distritocreativosanfelipe.com/logos/pdelicia.png</t>
  </si>
  <si>
    <t>Publicación/reel del restaurante indica: somos pet friendly.</t>
  </si>
  <si>
    <t>https://www.instagram.com/reel/DYA9em8JqVv/</t>
  </si>
  <si>
    <t>Reel con contenido visual del restaurante/producto.</t>
  </si>
  <si>
    <t>LONGO`S</t>
  </si>
  <si>
    <t>Restaurante / hamburguesas</t>
  </si>
  <si>
    <t>Cra. 20C #72-41</t>
  </si>
  <si>
    <t>Comer hamburguesa reconocida de Burger Master.</t>
  </si>
  <si>
    <t>$35.000 - $65.000</t>
  </si>
  <si>
    <t>Costo estimado por hamburguesa + bebida.</t>
  </si>
  <si>
    <t>https://distritocreativosanfelipe.com/Detalle/3/donde-comer/20/longos/</t>
  </si>
  <si>
    <t>https://distritocreativosanfelipe.com/logos/longoslogo.png</t>
  </si>
  <si>
    <t>La Cafeteria del Barrio</t>
  </si>
  <si>
    <t>Cafetería / pizzas / paninis</t>
  </si>
  <si>
    <t>Calle 75 #20C-89</t>
  </si>
  <si>
    <t>Descansar entre galerías con café, pizza, lasaña o postre.</t>
  </si>
  <si>
    <t>$20.000 - $45.000</t>
  </si>
  <si>
    <t>Costo estimado por comida ligera o café + plato.</t>
  </si>
  <si>
    <t>https://distritocreativosanfelipe.com/Detalle/3/donde-comer/23/la-cafeteria-del-barrio/</t>
  </si>
  <si>
    <t>https://distritocreativosanfelipe.com/logos/cafeteriadelbarrio.png</t>
  </si>
  <si>
    <t>Fratto helado artesanal</t>
  </si>
  <si>
    <t>Heladería artesanal</t>
  </si>
  <si>
    <t>Carrera 22 #74-35</t>
  </si>
  <si>
    <t>Helado artesanal, waffles y postre después del recorrido.</t>
  </si>
  <si>
    <t>$12.000 - $30.000</t>
  </si>
  <si>
    <t>Costo estimado por postre/helado.</t>
  </si>
  <si>
    <t>https://distritocreativosanfelipe.com/Detalle/3/donde-comer/24/fratto-helado-artesanal/</t>
  </si>
  <si>
    <t>https://distritocreativosanfelipe.com/logos/frattologo.png</t>
  </si>
  <si>
    <t>https://www.facebook.com/nochesanfelipe/photos/a.1001244003307232/3339879962776946/</t>
  </si>
  <si>
    <t>El Aquelarre San Felipe</t>
  </si>
  <si>
    <t>Restaurante-bar temático</t>
  </si>
  <si>
    <t>Carrera 22 #74A-38</t>
  </si>
  <si>
    <t>Cena temática, cócteles de autor y música/eventos.</t>
  </si>
  <si>
    <t>$50.000 - $100.000</t>
  </si>
  <si>
    <t>Costo estimado por comida + bebida/cóctel.</t>
  </si>
  <si>
    <t>https://distritocreativosanfelipe.com/Detalle/3/donde-comer/25/el-aquelarre-san-felipe/</t>
  </si>
  <si>
    <t>https://distritocreativosanfelipe.com/logos/aquelarrelogo2.png</t>
  </si>
  <si>
    <t>Reel de El Aquelarre San Felipe menciona: somos pet friendly.</t>
  </si>
  <si>
    <t>https://www.instagram.com/reel/DQFM9zwjXnQ/</t>
  </si>
  <si>
    <t>https://www.tripadvisor.ca/Restaurant_Review-g294074-d26630302-Reviews-El_Aquelarre_San_Felipe-Bogota.html</t>
  </si>
  <si>
    <t>Tripadvisor contiene fotos del sitio.</t>
  </si>
  <si>
    <t>Sin Igual 91</t>
  </si>
  <si>
    <t>Gastrobar / eventos / buffet</t>
  </si>
  <si>
    <t>Carrera 22 #74A - 08</t>
  </si>
  <si>
    <t>Buffet o gastrobar para grupos y eventos.</t>
  </si>
  <si>
    <t>$30.000 - $70.000</t>
  </si>
  <si>
    <t>Costo estimado por consumo; dirección desde fuente oficial.</t>
  </si>
  <si>
    <t>https://www.distritocreativosanfelipe.com/Detalle/3/gastronomia/31/sin-igual-91/</t>
  </si>
  <si>
    <t>https://distritocreativosanfelipe.com/logos/sinigual91logo.png</t>
  </si>
  <si>
    <t>Botero Burgers</t>
  </si>
  <si>
    <t>Calle 74 # 20C - 35</t>
  </si>
  <si>
    <t>Hamburguesa con buena relación precio-calidad.</t>
  </si>
  <si>
    <t>https://distritocreativosanfelipe.com/Detalle/3/donde-comer/37/botero-burgers/</t>
  </si>
  <si>
    <t>https://distritocreativosanfelipe.com/logos/boterologo.png</t>
  </si>
  <si>
    <t>Instagram de Botero Burgers indica que son pet friendly.</t>
  </si>
  <si>
    <t>https://www.instagram.com/p/C-2tv7rJRYV/</t>
  </si>
  <si>
    <t>Publicación con contenido visual del restaurante/producto.</t>
  </si>
  <si>
    <t>Las Alas DC</t>
  </si>
  <si>
    <t>Restaurante / alitas</t>
  </si>
  <si>
    <t>Calle 74A # 22 - 07</t>
  </si>
  <si>
    <t>Comer alitas en plan casual.</t>
  </si>
  <si>
    <t>$25.000 - $55.000</t>
  </si>
  <si>
    <t>Costo estimado por porción + bebida.</t>
  </si>
  <si>
    <t>https://distritocreativosanfelipe.com/Detalle/3/donde-comer/104/las-alas-dc/</t>
  </si>
  <si>
    <t>https://distritocreativosanfelipe.com/logos/lasalasdclogo.png</t>
  </si>
  <si>
    <t>Publicación indica PET FRIENDLY + PERRIMENÚ.</t>
  </si>
  <si>
    <t>https://www.instagram.com/reel/C6OfAqeudux/</t>
  </si>
  <si>
    <t>Reel con contenido visual del sitio/producto.</t>
  </si>
  <si>
    <t>Aliento de Dragon</t>
  </si>
  <si>
    <t>Restaurante / bar casual</t>
  </si>
  <si>
    <t>Carrera 22 # 76 - 20</t>
  </si>
  <si>
    <t>Amigos</t>
  </si>
  <si>
    <t>Plan nocturno informal para compartir comida y bebidas.</t>
  </si>
  <si>
    <t>Costo estimado por consumo casual.</t>
  </si>
  <si>
    <t>https://distritocreativosanfelipe.com/Detalle/3/donde-comer/69/aliento-de-dragon/</t>
  </si>
  <si>
    <t>https://distritocreativosanfelipe.com/logos/aldragon.png</t>
  </si>
  <si>
    <t>Se encontraron resultados contradictorios: una fuente indica no pet friendly y otra indica pet friendly; confirmar directamente.</t>
  </si>
  <si>
    <t>https://www.instagram.com/reel/DUZKdCLD2Ln/</t>
  </si>
  <si>
    <t>https://www.instagram.com/p/DWr_CGfj4Dd/</t>
  </si>
  <si>
    <t>Publicación con contenido visual del sitio/producto.</t>
  </si>
  <si>
    <t>Wings zone</t>
  </si>
  <si>
    <t>Calle 75A #23 - 39</t>
  </si>
  <si>
    <t>Plan de alitas y comida rápida.</t>
  </si>
  <si>
    <t>https://distritocreativosanfelipe.com/Detalle/3/donde-comer/149/wings-zone/</t>
  </si>
  <si>
    <t>https://distritocreativosanfelipe.com/logos/wingslogo.png</t>
  </si>
  <si>
    <t>Gold Foods</t>
  </si>
  <si>
    <t>Comida saludable</t>
  </si>
  <si>
    <t>Carrera 20C # 73 - 37</t>
  </si>
  <si>
    <t>Individual / Deportistas</t>
  </si>
  <si>
    <t>Comida saludable para almuerzo rápido o post-entrenamiento.</t>
  </si>
  <si>
    <t>Costo estimado por plato saludable.</t>
  </si>
  <si>
    <t>https://distritocreativosanfelipe.com/Detalle/3/donde-comer/159/gold-foods/</t>
  </si>
  <si>
    <t>https://distritocreativosanfelipe.com/logos/goldslogo.png</t>
  </si>
  <si>
    <t>Casa Andiamo</t>
  </si>
  <si>
    <t>Restaurante italiano</t>
  </si>
  <si>
    <t>Calle 74 # 20C -19</t>
  </si>
  <si>
    <t>Pareja / Familiar</t>
  </si>
  <si>
    <t>Comida italiana para cena o almuerzo en recorrido cultural.</t>
  </si>
  <si>
    <t>$40.000 - $80.000</t>
  </si>
  <si>
    <t>Costo estimado por plato + bebida.</t>
  </si>
  <si>
    <t>https://distritocreativosanfelipe.com/Detalle/3/donde-comer/158/casa-andiamo/</t>
  </si>
  <si>
    <t>https://distritocreativosanfelipe.com/logos/casaandiamologo.png</t>
  </si>
  <si>
    <t>Capella Gastro Bar</t>
  </si>
  <si>
    <t>Gastrobar temático</t>
  </si>
  <si>
    <t>Carrera 20C #73 - 45</t>
  </si>
  <si>
    <t>Cena o bebidas en gastrobar temático.</t>
  </si>
  <si>
    <t>$45.000 - $90.000</t>
  </si>
  <si>
    <t>Costo estimado por comida + bebida.</t>
  </si>
  <si>
    <t>https://distritocreativosanfelipe.com/Detalle/3/donde-comer/157/capella-gastro-bar/</t>
  </si>
  <si>
    <t>https://distritocreativosanfelipe.com/logos/capellalogo.png</t>
  </si>
  <si>
    <t>La Jungla</t>
  </si>
  <si>
    <t>Restaurante / café</t>
  </si>
  <si>
    <t>Calle 74 #22-38</t>
  </si>
  <si>
    <t>Plan de comida casual dentro del circuito gastronómico.</t>
  </si>
  <si>
    <t>La consulta oficial se cortó; dirección no visible en extracción. Dirección actualizada/verificada con fuente complementaria.</t>
  </si>
  <si>
    <t>https://distritocreativosanfelipe.com/Detalle/3/donde-comer/155/la-jungla/</t>
  </si>
  <si>
    <t>https://distritocreativosanfelipe.com/logos/junglalogo.png</t>
  </si>
  <si>
    <t>Montana Café y Vinilos</t>
  </si>
  <si>
    <t>Café / vinilos</t>
  </si>
  <si>
    <t>Carrera 23 # 73-75</t>
  </si>
  <si>
    <t>Café, música y exploración de vinilos.</t>
  </si>
  <si>
    <t>$15.000 - $40.000</t>
  </si>
  <si>
    <t>Costo estimado por café + snack o bebida.</t>
  </si>
  <si>
    <t>https://distritocreativosanfelipe.com/Detalle/3/donde-comer/153/montana-cafe-y-vinilos/</t>
  </si>
  <si>
    <t>https://distritocreativosanfelipe.com/logos/cafemontanalogo.png</t>
  </si>
  <si>
    <t>Braaap Café</t>
  </si>
  <si>
    <t>Café</t>
  </si>
  <si>
    <t>Calle 75A # 20B - 15</t>
  </si>
  <si>
    <t>Tomar café en plan tranquilo durante el recorrido.</t>
  </si>
  <si>
    <t>$12.000 - $35.000</t>
  </si>
  <si>
    <t>Costo estimado por café + snack.</t>
  </si>
  <si>
    <t>https://distritocreativosanfelipe.com/Detalle/3/donde-comer/154/braaap-cafe/</t>
  </si>
  <si>
    <t>https://distritocreativosanfelipe.com/logos/braplogo.png</t>
  </si>
  <si>
    <t>Instagram del establecimiento menciona: pet friendly, ideal para trabajar y música en vivo.</t>
  </si>
  <si>
    <t>https://www.instagram.com/braaapcafeco/</t>
  </si>
  <si>
    <t>Instagram oficial con fotos del lugar y productos.</t>
  </si>
  <si>
    <t>Los Discipulos</t>
  </si>
  <si>
    <t>Restaurante / cocina colombiana</t>
  </si>
  <si>
    <t>Calle 75 No. 22 - 40</t>
  </si>
  <si>
    <t>Comida colombiana casual para almuerzo o cena.</t>
  </si>
  <si>
    <t>https://distritocreativosanfelipe.com/Detalle/3/donde-comer/142/los-discipulos/</t>
  </si>
  <si>
    <t>https://distritocreativosanfelipe.com/logos/losdiscipuloslogo.png</t>
  </si>
  <si>
    <t>Chy Chocolate</t>
  </si>
  <si>
    <t>Chocolatería / pastelería</t>
  </si>
  <si>
    <t>Calle 76 #22-09 Local 04</t>
  </si>
  <si>
    <t>Pareja / Individual</t>
  </si>
  <si>
    <t>Chocolatería artesanal y postres de origen.</t>
  </si>
  <si>
    <t>$15.000 - $45.000</t>
  </si>
  <si>
    <t>https://distritocreativosanfelipe.com/Detalle/3/donde-comer/81/chy-chocolate/</t>
  </si>
  <si>
    <t>https://www.instagram.com/p/DNDm73gM4OQ/</t>
  </si>
  <si>
    <t>https://distritocreativosanfelipe.com/logos/chylogo.png</t>
  </si>
  <si>
    <t>Savvor</t>
  </si>
  <si>
    <t>Panadería / postres / café</t>
  </si>
  <si>
    <t>Calle 76 # 22 - 09</t>
  </si>
  <si>
    <t>Café, panadería y postres para pausa corta.</t>
  </si>
  <si>
    <t>Costo estimado por café + postre/panadería.</t>
  </si>
  <si>
    <t>https://distritocreativosanfelipe.com/Detalle/3/donde-comer/146/savvor/</t>
  </si>
  <si>
    <t>https://distritocreativosanfelipe.com/logos/savvorlogo.png</t>
  </si>
  <si>
    <t>Lilipan</t>
  </si>
  <si>
    <t>Panadería / desayunos</t>
  </si>
  <si>
    <t>Carrera 22 #75-18, Casa Rosada, Barrio San Felipe</t>
  </si>
  <si>
    <t>Desayuno, empanadas, panadería y bebidas calientes.</t>
  </si>
  <si>
    <t>$10.000 - $30.000</t>
  </si>
  <si>
    <t>https://distritocreativosanfelipe.com/Detalle/3/donde-comer/78/lilipan/</t>
  </si>
  <si>
    <t>https://cafeterias.guiabbb.co/02198798/Lilipan_Panaderia</t>
  </si>
  <si>
    <t>https://www.instagram.com/panaderialilipan/</t>
  </si>
  <si>
    <t>Chapoleros</t>
  </si>
  <si>
    <t>Calle 74A No 20C - 11</t>
  </si>
  <si>
    <t>Café de pausa entre recorridos.</t>
  </si>
  <si>
    <t>Costo estimado por café + acompañamiento.</t>
  </si>
  <si>
    <t>https://distritocreativosanfelipe.com/Detalle/3/donde-comer/151/chapoleros/</t>
  </si>
  <si>
    <t>https://distritocreativosanfelipe.com/logos/chapoleroslogo.png</t>
  </si>
  <si>
    <t>Solomons Bistro Cultural</t>
  </si>
  <si>
    <t>Bistró cultural</t>
  </si>
  <si>
    <t>Calle 74 No. 20C-19</t>
  </si>
  <si>
    <t>Comer y conectar con ambiente cultural.</t>
  </si>
  <si>
    <t>$35.000 - $80.000</t>
  </si>
  <si>
    <t>La fuente oficial no muestra dirección en la consulta. Dirección actualizada/verificada con fuente complementaria.</t>
  </si>
  <si>
    <t>https://distritocreativosanfelipe.com/Detalle/3/donde-comer/139/solomons-bistro-cultural/</t>
  </si>
  <si>
    <t>https://distritocreativosanfelipe.com/logos/solomonsblogo.jpg</t>
  </si>
  <si>
    <t>Monte moreno</t>
  </si>
  <si>
    <t>Restaurante de autor / desayunos</t>
  </si>
  <si>
    <t>Carrera 20C #73 - 56</t>
  </si>
  <si>
    <t>Desayuno o comida de autor dentro del distrito.</t>
  </si>
  <si>
    <t>$30.000 - $80.000</t>
  </si>
  <si>
    <t>https://distritocreativosanfelipe.com/Detalle/3/donde-comer/144/monte-moreno/</t>
  </si>
  <si>
    <t>https://distritocreativosanfelipe.com/logos/montemorenologo.png</t>
  </si>
  <si>
    <t>Cuadra Mexicana - Rogelio Red Tacos</t>
  </si>
  <si>
    <t>Restaurante mexicano</t>
  </si>
  <si>
    <t>Calle 78 No. 24-28</t>
  </si>
  <si>
    <t>Comida mexicana, tacos y esquites.</t>
  </si>
  <si>
    <t>$30.000 - $65.000</t>
  </si>
  <si>
    <t>https://distritocreativosanfelipe.com/Detalle/3/donde-comer/84/cuadra-mexicana-rogelio-red-tacos/</t>
  </si>
  <si>
    <t>https://distritocreativosanfelipe.com/logos/redtacoslogo.png</t>
  </si>
  <si>
    <t>Moraleja Pasteleria</t>
  </si>
  <si>
    <t>Café / pastelería</t>
  </si>
  <si>
    <t>Calle 74 No. 22-62</t>
  </si>
  <si>
    <t>Pastelería, café, tortas y rollos para onces.</t>
  </si>
  <si>
    <t>Costo estimado por café + postre.</t>
  </si>
  <si>
    <t>https://distritocreativosanfelipe.com/Detalle/3/donde-comer/33/moraleja-pasteleria/</t>
  </si>
  <si>
    <t>https://distritocreativosanfelipe.com/logos/moralejalogo.png</t>
  </si>
  <si>
    <t>Publicación de Moraleja Pastelería menciona pet friendly.</t>
  </si>
  <si>
    <t>https://www.instagram.com/p/C0NEVqtJqqR/?hl=en</t>
  </si>
  <si>
    <t>Tertulia Librería Café</t>
  </si>
  <si>
    <t>Librería-café</t>
  </si>
  <si>
    <t>Carrera 22 #74-07</t>
  </si>
  <si>
    <t>Individual / Familiar</t>
  </si>
  <si>
    <t>Leer, comprar libros y tomar café; ideal para niños y adultos.</t>
  </si>
  <si>
    <t>Costo estimado por café + antojo; libros no incluidos.</t>
  </si>
  <si>
    <t>https://distritocreativosanfelipe.com/Detalle/3/donde-comer/39/tertulia-libreria-cafe/</t>
  </si>
  <si>
    <t>https://distritocreativosanfelipe.com/logos/tertulialogo.png</t>
  </si>
  <si>
    <t>VII Panadería Artesanal</t>
  </si>
  <si>
    <t>Panadería / café / restaurante</t>
  </si>
  <si>
    <t>Carrera 22 #74 - 10</t>
  </si>
  <si>
    <t>Panadería artesanal, café, cocina y repostería.</t>
  </si>
  <si>
    <t>$18.000 - $45.000</t>
  </si>
  <si>
    <t>Costo estimado por consumo de panadería/café o plato ligero.</t>
  </si>
  <si>
    <t>https://distritocreativosanfelipe.com/Detalle/3/donde-comer/28/vii-panaderia-artesanal/</t>
  </si>
  <si>
    <t>https://distritocreativosanfelipe.com/logos/panaderiaviilogo.png</t>
  </si>
  <si>
    <t>Fuente de evento/promoción menciona pet friendly; confirmar política diaria del local.</t>
  </si>
  <si>
    <t>https://www.instagram.com/p/DKOT2VKNlyz/</t>
  </si>
  <si>
    <t>La Marttina</t>
  </si>
  <si>
    <t>Salón de onces / café y postres</t>
  </si>
  <si>
    <t>Calle 75 # 22 - 40</t>
  </si>
  <si>
    <t>Onces, café y postres en plan tranquilo.</t>
  </si>
  <si>
    <t>https://distritocreativosanfelipe.com/Detalle/3/donde-comer/105/la-marttina/</t>
  </si>
  <si>
    <t>https://distritocreativosanfelipe.com/logos/lamarttina.png</t>
  </si>
  <si>
    <t>Fuente encontrada corresponde a La Martina Trattoria y menciona pet friendly; revisar si coincide con La Marttina del catálogo.</t>
  </si>
  <si>
    <t>https://www.instagram.com/lamartinatrattoria/reels/</t>
  </si>
  <si>
    <t>Instagram de posible coincidencia de marca con fotos del lugar/productos.</t>
  </si>
  <si>
    <t>Cafe Open</t>
  </si>
  <si>
    <t>Café y pizzas</t>
  </si>
  <si>
    <t>Carrera 22 #74A-08</t>
  </si>
  <si>
    <t>Café o pizza en formato casual.</t>
  </si>
  <si>
    <t>https://distritocreativosanfelipe.com/Detalle/3/donde-comer/99/cafe-open/</t>
  </si>
  <si>
    <t>https://www.instagram.com/cafeopensanfelipe/</t>
  </si>
  <si>
    <t>MOD</t>
  </si>
  <si>
    <t>Restaurante / cocina sudeste asiático</t>
  </si>
  <si>
    <t>Calle 72A #20B - 09</t>
  </si>
  <si>
    <t>Cocina del sudeste asiático para cena o almuerzo.</t>
  </si>
  <si>
    <t>Dirección tomada de la página oficial en el buscador.</t>
  </si>
  <si>
    <t>https://www.distritocreativosanfelipe.com/Detalle/3/gastronomia/163/mod/</t>
  </si>
  <si>
    <t>https://distritocreativosanfelipe.com/logos/modsf.jpg</t>
  </si>
  <si>
    <t>Entretenimiento</t>
  </si>
  <si>
    <t>Pola del Pub</t>
  </si>
  <si>
    <t>Pub / microcervecería</t>
  </si>
  <si>
    <t>Calle 78 #23-55</t>
  </si>
  <si>
    <t>Tomar cerveza artesanal y compartir en pub.</t>
  </si>
  <si>
    <t>Costo estimado por cervezas + comida ligera.</t>
  </si>
  <si>
    <t>https://distritocreativosanfelipe.com/Detalle/6/entretenimiento/16/pola-del-pub/</t>
  </si>
  <si>
    <t>https://distritocreativosanfelipe.com/logos/polapublogo.png</t>
  </si>
  <si>
    <t>https://www.distritocreativosanfelipe.com/Seccion/6/bares-y-otros/</t>
  </si>
  <si>
    <t>Sí (marca / revisar sede)</t>
  </si>
  <si>
    <t>Tripadvisor registra características de la marca El Irish Pub/Pola del Pub como apto para perros; conviene confirmar sede San Felipe.</t>
  </si>
  <si>
    <t>https://www.tripadvisor.co/Restaurant_Review-g294074-d17165390-Reviews-El_Irish_Quinta_Camacho-Bogota.html</t>
  </si>
  <si>
    <t>https://www.tripadvisor.com/Restaurant_Review-g294074-d25243194-Reviews-Pola_Del_Pub_San_Felipe-Bogota.html</t>
  </si>
  <si>
    <t>La Embajada Pola &amp; Tejo</t>
  </si>
  <si>
    <t>Tejo / bar</t>
  </si>
  <si>
    <t>Carrera 24 #76-20</t>
  </si>
  <si>
    <t>Jugar tejo y tomar bebidas en grupo.</t>
  </si>
  <si>
    <t>Costo estimado por consumo + juego, variable por grupo.</t>
  </si>
  <si>
    <t>https://distritocreativosanfelipe.com/Detalle/6/entretenimiento/17/la-embajada-pola-tejo/</t>
  </si>
  <si>
    <t>https://distritocreativosanfelipe.com/logos/embajadalogo.png</t>
  </si>
  <si>
    <t>Frog Bolirana Club</t>
  </si>
  <si>
    <t>Bolirana / entretenimiento</t>
  </si>
  <si>
    <t>Cra 24 No. 75 - 32</t>
  </si>
  <si>
    <t>Jugar bolirana electrónica en grupo.</t>
  </si>
  <si>
    <t>$25.000 - $70.000</t>
  </si>
  <si>
    <t>Costo estimado por consumo + juego.</t>
  </si>
  <si>
    <t>https://distritocreativosanfelipe.com/Detalle/6/entretenimiento/22/frog-bolirana-club/</t>
  </si>
  <si>
    <t>https://distritocreativosanfelipe.com/logos/froglogo.png</t>
  </si>
  <si>
    <t>Combi Bendita Cerveza</t>
  </si>
  <si>
    <t>Cervecería / bar</t>
  </si>
  <si>
    <t>Carrera 22 No. 74-02</t>
  </si>
  <si>
    <t>Plan de cervezas artesanales.</t>
  </si>
  <si>
    <t>Costo estimado por bebidas.</t>
  </si>
  <si>
    <t>https://distritocreativosanfelipe.com/Detalle/6/entretenimiento/32/combi-bendita-cerveza/</t>
  </si>
  <si>
    <t>https://distritocreativosanfelipe.com/logos/benditacervezalogo.png</t>
  </si>
  <si>
    <t>Barbaros Brewing Co</t>
  </si>
  <si>
    <t>Cervecería independiente</t>
  </si>
  <si>
    <t>Carrera 24 # 78 - 48</t>
  </si>
  <si>
    <t>Tardear o salir de noche con cerveza independiente.</t>
  </si>
  <si>
    <t>https://distritocreativosanfelipe.com/Detalle/6/entretenimiento/70/barbaros-brewing-co/</t>
  </si>
  <si>
    <t>https://distritocreativosanfelipe.com/logos/barbaroslogo.png</t>
  </si>
  <si>
    <t>Tienda de la esperanza</t>
  </si>
  <si>
    <t>Bar / tienda cultural</t>
  </si>
  <si>
    <t>Cra 22 # 74-30</t>
  </si>
  <si>
    <t>Plan de bebidas y ambiente alternativo.</t>
  </si>
  <si>
    <t>Costo estimado por consumo.</t>
  </si>
  <si>
    <t>https://distritocreativosanfelipe.com/Detalle/6/entretenimiento/162/tienda-de-la-esperanza/</t>
  </si>
  <si>
    <t>https://distritocreativosanfelipe.com/logos/logotiendadesperanza.jpg</t>
  </si>
  <si>
    <t>Currandera Escaparate de Viches</t>
  </si>
  <si>
    <t>Bar / bebidas tradicionales</t>
  </si>
  <si>
    <t>Calle 74 #20C-59</t>
  </si>
  <si>
    <t>Degustar viches y bebidas tradicionales del Pacífico.</t>
  </si>
  <si>
    <t>La fuente oficial no muestra dirección en la parte capturada; costo estimado por consumo. Dirección actualizada/verificada con fuente complementaria.</t>
  </si>
  <si>
    <t>https://distritocreativosanfelipe.com/Detalle/6/entretenimiento/152/currandera-escaparate-de-viches/</t>
  </si>
  <si>
    <t>https://distritocreativosanfelipe.com/logos/curanderalogo.png</t>
  </si>
  <si>
    <t>Resumen del directorio San Felipe</t>
  </si>
  <si>
    <t>Resumen imágenes</t>
  </si>
  <si>
    <t>Fecha de elaboración</t>
  </si>
  <si>
    <t>Total establecimientos</t>
  </si>
  <si>
    <t>Fuente base</t>
  </si>
  <si>
    <t>Directorio oficial del Distrito Creativo San Felipe y fuentes oficiales/complementarias por establecimiento.</t>
  </si>
  <si>
    <t>Con link directo de imagen</t>
  </si>
  <si>
    <t>Nota</t>
  </si>
  <si>
    <t>Costos son estimaciones por persona; direcciones faltantes fueron completadas con fuentes oficiales o complementarias.</t>
  </si>
  <si>
    <t>Sin link directo</t>
  </si>
  <si>
    <t>Revisar manualmente</t>
  </si>
  <si>
    <t>Casa EQP, Lilipan, Cafe Open</t>
  </si>
  <si>
    <t>Número de establecimientos</t>
  </si>
  <si>
    <t>Costo promedio estimado</t>
  </si>
  <si>
    <t>Perfil más común / uso</t>
  </si>
  <si>
    <t>Recorridos culturales, arte, talleres y eventos</t>
  </si>
  <si>
    <t>Gastronomía, cafés, postres y restaurantes</t>
  </si>
  <si>
    <t>Bares, cervecerías, tejo y bolirana</t>
  </si>
  <si>
    <t>TOTAL</t>
  </si>
  <si>
    <t>Universo inventariado del directorio</t>
  </si>
  <si>
    <t>Sugerencia de uso</t>
  </si>
  <si>
    <t>Filtra por Perfil ideal para armar rutas: familiar, pareja, individual o amigos.</t>
  </si>
  <si>
    <t>Ruta recomendada familiar</t>
  </si>
  <si>
    <t>Tertulia Librería Café + Fratto + El Azulejo / Casa Plástica</t>
  </si>
  <si>
    <t>Ruta recomendada pareja</t>
  </si>
  <si>
    <t>Galería Elvira Moreno + Sketch + Casa Andiamo / El Aquelarre</t>
  </si>
  <si>
    <t>Ruta recomendada individual</t>
  </si>
  <si>
    <t>LGM + Instituto de Visión + Montana Café y Vinilos</t>
  </si>
  <si>
    <t>Ruta recomendada amigos</t>
  </si>
  <si>
    <t>Puta Delicia BBQ + La Embajada Pola &amp; Tejo + Pola del Pub</t>
  </si>
  <si>
    <t>Metodología y notas</t>
  </si>
  <si>
    <t>1. El universo base corresponde al directorio público del Distrito Creativo San Felipe: Galerías y talleres, Donde Comer y Entretenimiento.</t>
  </si>
  <si>
    <t>2. Direcciones: se tomaron del detalle oficial del Distrito Creativo cuando estaba disponible. Las filas que no tenían dirección exacta fueron verificadas con fuentes complementarias y registradas en la columna 'Fuente dirección actualizada'.</t>
  </si>
  <si>
    <t>3. El costo promedio es una estimación por persona para una visita o consumo básico. No es una tarifa oficial.</t>
  </si>
  <si>
    <t>4. Para galerías, el costo promedio refleja una visita de baja barrera económica; no incluye compra de obras ni cursos.</t>
  </si>
  <si>
    <t>5. Para restaurantes, cafés, bares y entretenimiento, el costo promedio estima consumo individual sencillo en Bogotá.</t>
  </si>
  <si>
    <t>6. Antes de visitar, conviene confirmar horarios por Instagram o teléfono, porque la programación cultural cambia con frecuencia.</t>
  </si>
  <si>
    <t>Actualización de direcciones</t>
  </si>
  <si>
    <t>15 direcciones faltantes fueron buscadas y actualizadas. Cuando la fuente oficial no mostraba dirección, se usó una fuente complementaria indicada en la columna L.</t>
  </si>
  <si>
    <t>https://distritocreativosanfelipe.com/</t>
  </si>
  <si>
    <t>https://distritocreativosanfelipe.com/Seccion/6/entretenimiento/</t>
  </si>
  <si>
    <t>Notas sobre enlaces de imagen</t>
  </si>
  <si>
    <t>Fuente principal</t>
  </si>
  <si>
    <t>Directorio oficial Distrito Creativo San Felipe: https://distritocreativosanfelipe.com/</t>
  </si>
  <si>
    <t>Criterio</t>
  </si>
  <si>
    <t>Se usó la imagen/logo institucional que el directorio muestra para cada establecimiento cuando existía URL directa.</t>
  </si>
  <si>
    <t>Limitación</t>
  </si>
  <si>
    <t>Algunas entradas no tenían imagen directa pública en el directorio; en esos casos se incluyó una fuente visual alternativa para revisión manual.</t>
  </si>
  <si>
    <t>Registros sin imagen directa</t>
  </si>
  <si>
    <t>Uso recomendado</t>
  </si>
  <si>
    <t>Para la página web San FelipIA, validar derechos de uso de imagen con cada establecimiento antes de publicar imágenes en producción.</t>
  </si>
  <si>
    <t>Campo</t>
  </si>
  <si>
    <t>Descripción</t>
  </si>
  <si>
    <t>Sí solo cuando se encontró fuente pública que lo menciona; Verificar cuando la fuente es de evento, marca, posible homónimo o hay contradicción; No verificado cuando no se halló evidencia clara.</t>
  </si>
  <si>
    <t>URL de la fuente pública encontrada. En varios casos son Instagram/Facebook/Tripadvisor o páginas con snippets visibles.</t>
  </si>
  <si>
    <t>Se conserva el link de imagen/logo que ya estaba en el Excel, principalmente desde el directorio oficial del Distrito Creativo San Felipe.</t>
  </si>
  <si>
    <t>Cuando se encontró una página pública con fotos del lugar físico o contenido visual del establecimiento, se agregó el enlace. Si no, se dejó en blanco.</t>
  </si>
  <si>
    <t>Las políticas pet friendly pueden cambiar. Para uso público final de la página web se recomienda confirmar con cada establecimiento antes de publicar.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</si>
</sst>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\ #,##0"/>
    <numFmt numFmtId="165" formatCode="&quot;$&quot;#,##0"/>
    <numFmt numFmtId="166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FFFFFF"/>
      <name val="Arial"/>
    </font>
    <font>
      <sz val="11"/>
      <name val="Arial"/>
    </font>
    <font>
      <b/>
      <sz val="16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4B2E83"/>
      </patternFill>
    </fill>
    <fill>
      <patternFill patternType="solid">
        <fgColor rgb="FF5B21B6"/>
      </patternFill>
    </fill>
    <fill>
      <patternFill patternType="solid">
        <fgColor rgb="FF111827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0" fontId="4" fillId="2" borderId="0" xfId="0" applyFont="1" applyFill="1" applyAlignment="1">
      <alignment wrapText="1"/>
    </xf>
    <xf numFmtId="0" fontId="1" fillId="4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vertical="top" wrapText="1"/>
    </xf>
    <xf numFmtId="166" fontId="0" fillId="0" borderId="0" xfId="0" applyNumberFormat="1" applyAlignment="1">
      <alignment vertical="top" wrapText="1"/>
    </xf>
    <xf numFmtId="0" fontId="1" fillId="5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4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4">
    <dxf>
      <font>
        <color rgb="FF374151"/>
      </font>
      <fill>
        <patternFill patternType="solid">
          <bgColor rgb="FFF3F4F6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Número de establecimientos por categoría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Número de establecimientos</c:v>
          </c:tx>
          <c:invertIfNegative val="1"/>
          <c:cat>
            <c:strRef>
              <c:f>Resumen!$A$7:$A$9</c:f>
              <c:strCache>
                <c:ptCount val="3"/>
                <c:pt idx="0">
                  <c:v>Galerías y talleres</c:v>
                </c:pt>
                <c:pt idx="1">
                  <c:v>Donde Comer</c:v>
                </c:pt>
                <c:pt idx="2">
                  <c:v>Entretenimiento</c:v>
                </c:pt>
              </c:strCache>
            </c:strRef>
          </c:cat>
          <c:val>
            <c:numRef>
              <c:f>Resumen!$B$7:$B$9</c:f>
              <c:numCache>
                <c:formatCode>General</c:formatCode>
                <c:ptCount val="3"/>
                <c:pt idx="0">
                  <c:v>25</c:v>
                </c:pt>
                <c:pt idx="1">
                  <c:v>33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6-4E6B-9E5C-DD541B85A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stablecimientos" displayName="TablaEstablecimientos" ref="A1:K66">
  <tableColumns count="11">
    <tableColumn id="1" xr3:uid="{00000000-0010-0000-0000-000001000000}" name="ID"/>
    <tableColumn id="2" xr3:uid="{00000000-0010-0000-0000-000002000000}" name="Categoría"/>
    <tableColumn id="3" xr3:uid="{00000000-0010-0000-0000-000003000000}" name="Nombre"/>
    <tableColumn id="4" xr3:uid="{00000000-0010-0000-0000-000004000000}" name="Tipo de establecimiento"/>
    <tableColumn id="5" xr3:uid="{00000000-0010-0000-0000-000005000000}" name="Dirección"/>
    <tableColumn id="6" xr3:uid="{00000000-0010-0000-0000-000006000000}" name="Perfil ideal"/>
    <tableColumn id="7" xr3:uid="{00000000-0010-0000-0000-000007000000}" name="Plan sugerido"/>
    <tableColumn id="8" xr3:uid="{00000000-0010-0000-0000-000008000000}" name="Costo promedio estimado por persona (COP)"/>
    <tableColumn id="9" xr3:uid="{00000000-0010-0000-0000-000009000000}" name="Rango costo"/>
    <tableColumn id="10" xr3:uid="{00000000-0010-0000-0000-00000A000000}" name="Observaciones"/>
    <tableColumn id="11" xr3:uid="{00000000-0010-0000-0000-00000B000000}" name="Fuent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0"/>
  <sheetViews>
    <sheetView tabSelected="1" topLeftCell="J1" workbookViewId="0">
      <selection activeCell="M1" sqref="M1:M1048576"/>
    </sheetView>
  </sheetViews>
  <sheetFormatPr baseColWidth="10" defaultColWidth="9" defaultRowHeight="14.25"/>
  <cols>
    <col min="1" max="1" width="6" customWidth="1"/>
    <col min="2" max="2" width="20" customWidth="1"/>
    <col min="3" max="3" width="26" customWidth="1"/>
    <col min="4" max="4" width="24" customWidth="1"/>
    <col min="5" max="5" width="28" customWidth="1"/>
    <col min="6" max="6" width="18" customWidth="1"/>
    <col min="7" max="7" width="42" customWidth="1"/>
    <col min="8" max="9" width="14" customWidth="1"/>
    <col min="10" max="10" width="42" customWidth="1"/>
    <col min="11" max="12" width="34" customWidth="1"/>
    <col min="13" max="13" width="42" customWidth="1"/>
    <col min="14" max="14" width="22" customWidth="1"/>
    <col min="15" max="15" width="30" customWidth="1"/>
    <col min="16" max="16" width="40" customWidth="1"/>
    <col min="17" max="17" width="38" customWidth="1"/>
    <col min="18" max="18" width="18" customWidth="1"/>
    <col min="19" max="19" width="48" customWidth="1"/>
    <col min="20" max="21" width="42" customWidth="1"/>
    <col min="22" max="22" width="24" customWidth="1"/>
    <col min="23" max="23" width="42" customWidth="1"/>
    <col min="24" max="24" width="44" customWidth="1"/>
    <col min="25" max="25" width="14" customWidth="1"/>
  </cols>
  <sheetData>
    <row r="1" spans="1:25" ht="39.6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</row>
    <row r="2" spans="1:25" ht="26.45" customHeight="1">
      <c r="A2" s="4">
        <v>1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13">
        <v>10000</v>
      </c>
      <c r="I2" s="4" t="s">
        <v>31</v>
      </c>
      <c r="J2" s="4" t="s">
        <v>32</v>
      </c>
      <c r="K2" s="4" t="s">
        <v>33</v>
      </c>
      <c r="L2" s="2"/>
      <c r="M2" s="2" t="s">
        <v>34</v>
      </c>
      <c r="N2" s="2" t="s">
        <v>35</v>
      </c>
      <c r="O2" s="2" t="s">
        <v>36</v>
      </c>
      <c r="P2" s="2" t="s">
        <v>37</v>
      </c>
      <c r="Q2" s="2"/>
      <c r="R2" s="2" t="s">
        <v>38</v>
      </c>
      <c r="S2" s="2" t="s">
        <v>39</v>
      </c>
      <c r="T2" s="2"/>
      <c r="U2" s="2" t="s">
        <v>34</v>
      </c>
      <c r="V2" s="2" t="s">
        <v>40</v>
      </c>
      <c r="W2" s="2"/>
      <c r="X2" s="2" t="s">
        <v>41</v>
      </c>
      <c r="Y2" s="14" t="s">
        <v>42</v>
      </c>
    </row>
    <row r="3" spans="1:25" ht="26.45" customHeight="1">
      <c r="A3" s="4">
        <v>2</v>
      </c>
      <c r="B3" s="4" t="s">
        <v>25</v>
      </c>
      <c r="C3" s="4" t="s">
        <v>43</v>
      </c>
      <c r="D3" s="4" t="s">
        <v>44</v>
      </c>
      <c r="E3" s="4" t="s">
        <v>45</v>
      </c>
      <c r="F3" s="4" t="s">
        <v>29</v>
      </c>
      <c r="G3" s="4" t="s">
        <v>46</v>
      </c>
      <c r="H3" s="13">
        <v>10000</v>
      </c>
      <c r="I3" s="4" t="s">
        <v>31</v>
      </c>
      <c r="J3" s="4" t="s">
        <v>47</v>
      </c>
      <c r="K3" s="4" t="s">
        <v>48</v>
      </c>
      <c r="L3" s="2"/>
      <c r="M3" s="2" t="s">
        <v>49</v>
      </c>
      <c r="N3" s="2" t="s">
        <v>35</v>
      </c>
      <c r="O3" s="2" t="s">
        <v>36</v>
      </c>
      <c r="P3" s="2" t="s">
        <v>37</v>
      </c>
      <c r="Q3" s="2"/>
      <c r="R3" s="2" t="s">
        <v>38</v>
      </c>
      <c r="S3" s="2" t="s">
        <v>39</v>
      </c>
      <c r="T3" s="2"/>
      <c r="U3" s="2" t="s">
        <v>49</v>
      </c>
      <c r="V3" s="2" t="s">
        <v>40</v>
      </c>
      <c r="W3" s="2"/>
      <c r="X3" s="2" t="s">
        <v>41</v>
      </c>
      <c r="Y3" s="14" t="s">
        <v>42</v>
      </c>
    </row>
    <row r="4" spans="1:25" ht="26.45" customHeight="1">
      <c r="A4" s="4">
        <v>3</v>
      </c>
      <c r="B4" s="4" t="s">
        <v>25</v>
      </c>
      <c r="C4" s="4" t="s">
        <v>50</v>
      </c>
      <c r="D4" s="4" t="s">
        <v>44</v>
      </c>
      <c r="E4" s="4" t="s">
        <v>51</v>
      </c>
      <c r="F4" s="4" t="s">
        <v>29</v>
      </c>
      <c r="G4" s="4" t="s">
        <v>52</v>
      </c>
      <c r="H4" s="13">
        <v>10000</v>
      </c>
      <c r="I4" s="4" t="s">
        <v>31</v>
      </c>
      <c r="J4" s="4" t="s">
        <v>53</v>
      </c>
      <c r="K4" s="4" t="s">
        <v>54</v>
      </c>
      <c r="L4" s="2"/>
      <c r="M4" s="2" t="s">
        <v>55</v>
      </c>
      <c r="N4" s="2" t="s">
        <v>35</v>
      </c>
      <c r="O4" s="2" t="s">
        <v>36</v>
      </c>
      <c r="P4" s="2" t="s">
        <v>37</v>
      </c>
      <c r="Q4" s="2"/>
      <c r="R4" s="2" t="s">
        <v>38</v>
      </c>
      <c r="S4" s="2" t="s">
        <v>39</v>
      </c>
      <c r="T4" s="2"/>
      <c r="U4" s="2" t="s">
        <v>55</v>
      </c>
      <c r="V4" s="2" t="s">
        <v>40</v>
      </c>
      <c r="W4" s="2"/>
      <c r="X4" s="2" t="s">
        <v>41</v>
      </c>
      <c r="Y4" s="14" t="s">
        <v>42</v>
      </c>
    </row>
    <row r="5" spans="1:25" ht="26.45" customHeight="1">
      <c r="A5" s="4">
        <v>4</v>
      </c>
      <c r="B5" s="4" t="s">
        <v>25</v>
      </c>
      <c r="C5" s="4" t="s">
        <v>56</v>
      </c>
      <c r="D5" s="4" t="s">
        <v>27</v>
      </c>
      <c r="E5" s="4" t="s">
        <v>57</v>
      </c>
      <c r="F5" s="4" t="s">
        <v>29</v>
      </c>
      <c r="G5" s="4" t="s">
        <v>58</v>
      </c>
      <c r="H5" s="13">
        <v>10000</v>
      </c>
      <c r="I5" s="4" t="s">
        <v>31</v>
      </c>
      <c r="J5" s="4" t="s">
        <v>59</v>
      </c>
      <c r="K5" s="4" t="s">
        <v>60</v>
      </c>
      <c r="L5" s="2"/>
      <c r="M5" s="2" t="s">
        <v>61</v>
      </c>
      <c r="N5" s="2" t="s">
        <v>35</v>
      </c>
      <c r="O5" s="2" t="s">
        <v>36</v>
      </c>
      <c r="P5" s="2" t="s">
        <v>37</v>
      </c>
      <c r="Q5" s="2"/>
      <c r="R5" s="2" t="s">
        <v>38</v>
      </c>
      <c r="S5" s="2" t="s">
        <v>39</v>
      </c>
      <c r="T5" s="2"/>
      <c r="U5" s="2" t="s">
        <v>61</v>
      </c>
      <c r="V5" s="2" t="s">
        <v>40</v>
      </c>
      <c r="W5" s="2"/>
      <c r="X5" s="2" t="s">
        <v>41</v>
      </c>
      <c r="Y5" s="14" t="s">
        <v>42</v>
      </c>
    </row>
    <row r="6" spans="1:25" ht="26.45" customHeight="1">
      <c r="A6" s="4">
        <v>5</v>
      </c>
      <c r="B6" s="4" t="s">
        <v>25</v>
      </c>
      <c r="C6" s="4" t="s">
        <v>62</v>
      </c>
      <c r="D6" s="4" t="s">
        <v>63</v>
      </c>
      <c r="E6" s="4" t="s">
        <v>64</v>
      </c>
      <c r="F6" s="4" t="s">
        <v>29</v>
      </c>
      <c r="G6" s="4" t="s">
        <v>65</v>
      </c>
      <c r="H6" s="13">
        <v>10000</v>
      </c>
      <c r="I6" s="4" t="s">
        <v>31</v>
      </c>
      <c r="J6" s="4" t="s">
        <v>66</v>
      </c>
      <c r="K6" s="4" t="s">
        <v>67</v>
      </c>
      <c r="L6" s="2"/>
      <c r="M6" s="2" t="s">
        <v>68</v>
      </c>
      <c r="N6" s="2" t="s">
        <v>35</v>
      </c>
      <c r="O6" s="2" t="s">
        <v>36</v>
      </c>
      <c r="P6" s="2" t="s">
        <v>37</v>
      </c>
      <c r="Q6" s="2"/>
      <c r="R6" s="2" t="s">
        <v>38</v>
      </c>
      <c r="S6" s="2" t="s">
        <v>39</v>
      </c>
      <c r="T6" s="2"/>
      <c r="U6" s="2" t="s">
        <v>68</v>
      </c>
      <c r="V6" s="2" t="s">
        <v>40</v>
      </c>
      <c r="W6" s="2"/>
      <c r="X6" s="2" t="s">
        <v>41</v>
      </c>
      <c r="Y6" s="14" t="s">
        <v>42</v>
      </c>
    </row>
    <row r="7" spans="1:25" ht="26.45" customHeight="1">
      <c r="A7" s="4">
        <v>6</v>
      </c>
      <c r="B7" s="4" t="s">
        <v>25</v>
      </c>
      <c r="C7" s="4" t="s">
        <v>69</v>
      </c>
      <c r="D7" s="4" t="s">
        <v>70</v>
      </c>
      <c r="E7" s="4" t="s">
        <v>71</v>
      </c>
      <c r="F7" s="4" t="s">
        <v>29</v>
      </c>
      <c r="G7" s="4" t="s">
        <v>72</v>
      </c>
      <c r="H7" s="13">
        <v>15000</v>
      </c>
      <c r="I7" s="4" t="s">
        <v>73</v>
      </c>
      <c r="J7" s="4" t="s">
        <v>74</v>
      </c>
      <c r="K7" s="4" t="s">
        <v>75</v>
      </c>
      <c r="L7" s="2"/>
      <c r="M7" s="2" t="s">
        <v>76</v>
      </c>
      <c r="N7" s="2" t="s">
        <v>35</v>
      </c>
      <c r="O7" s="2" t="s">
        <v>36</v>
      </c>
      <c r="P7" s="2" t="s">
        <v>37</v>
      </c>
      <c r="Q7" s="2"/>
      <c r="R7" s="2" t="s">
        <v>38</v>
      </c>
      <c r="S7" s="2" t="s">
        <v>39</v>
      </c>
      <c r="T7" s="2"/>
      <c r="U7" s="2" t="s">
        <v>76</v>
      </c>
      <c r="V7" s="2" t="s">
        <v>40</v>
      </c>
      <c r="W7" s="2"/>
      <c r="X7" s="2" t="s">
        <v>41</v>
      </c>
      <c r="Y7" s="14" t="s">
        <v>42</v>
      </c>
    </row>
    <row r="8" spans="1:25" ht="39.6" customHeight="1">
      <c r="A8" s="4">
        <v>7</v>
      </c>
      <c r="B8" s="4" t="s">
        <v>25</v>
      </c>
      <c r="C8" s="4" t="s">
        <v>77</v>
      </c>
      <c r="D8" s="4" t="s">
        <v>78</v>
      </c>
      <c r="E8" s="4" t="s">
        <v>79</v>
      </c>
      <c r="F8" s="4" t="s">
        <v>80</v>
      </c>
      <c r="G8" s="4" t="s">
        <v>81</v>
      </c>
      <c r="H8" s="13">
        <v>10000</v>
      </c>
      <c r="I8" s="4" t="s">
        <v>31</v>
      </c>
      <c r="J8" s="4" t="s">
        <v>82</v>
      </c>
      <c r="K8" s="4" t="s">
        <v>83</v>
      </c>
      <c r="L8" s="2" t="s">
        <v>84</v>
      </c>
      <c r="M8" s="2" t="s">
        <v>85</v>
      </c>
      <c r="N8" s="2" t="s">
        <v>35</v>
      </c>
      <c r="O8" s="2" t="s">
        <v>36</v>
      </c>
      <c r="P8" s="2" t="s">
        <v>37</v>
      </c>
      <c r="Q8" s="2"/>
      <c r="R8" s="2" t="s">
        <v>38</v>
      </c>
      <c r="S8" s="2" t="s">
        <v>39</v>
      </c>
      <c r="T8" s="2"/>
      <c r="U8" s="2" t="s">
        <v>85</v>
      </c>
      <c r="V8" s="2" t="s">
        <v>40</v>
      </c>
      <c r="W8" s="2"/>
      <c r="X8" s="2" t="s">
        <v>41</v>
      </c>
      <c r="Y8" s="14" t="s">
        <v>42</v>
      </c>
    </row>
    <row r="9" spans="1:25" ht="26.45" customHeight="1">
      <c r="A9" s="4">
        <v>8</v>
      </c>
      <c r="B9" s="4" t="s">
        <v>25</v>
      </c>
      <c r="C9" s="4" t="s">
        <v>86</v>
      </c>
      <c r="D9" s="4" t="s">
        <v>87</v>
      </c>
      <c r="E9" s="4" t="s">
        <v>88</v>
      </c>
      <c r="F9" s="4" t="s">
        <v>89</v>
      </c>
      <c r="G9" s="4" t="s">
        <v>90</v>
      </c>
      <c r="H9" s="13">
        <v>30000</v>
      </c>
      <c r="I9" s="4" t="s">
        <v>91</v>
      </c>
      <c r="J9" s="4" t="s">
        <v>92</v>
      </c>
      <c r="K9" s="4" t="s">
        <v>93</v>
      </c>
      <c r="L9" s="2"/>
      <c r="M9" s="2" t="s">
        <v>94</v>
      </c>
      <c r="N9" s="2" t="s">
        <v>35</v>
      </c>
      <c r="O9" s="2" t="s">
        <v>36</v>
      </c>
      <c r="P9" s="2" t="s">
        <v>37</v>
      </c>
      <c r="Q9" s="2"/>
      <c r="R9" s="2" t="s">
        <v>38</v>
      </c>
      <c r="S9" s="2" t="s">
        <v>39</v>
      </c>
      <c r="T9" s="2"/>
      <c r="U9" s="2" t="s">
        <v>94</v>
      </c>
      <c r="V9" s="2" t="s">
        <v>40</v>
      </c>
      <c r="W9" s="2"/>
      <c r="X9" s="2" t="s">
        <v>41</v>
      </c>
      <c r="Y9" s="14" t="s">
        <v>42</v>
      </c>
    </row>
    <row r="10" spans="1:25" ht="26.45" customHeight="1">
      <c r="A10" s="4">
        <v>9</v>
      </c>
      <c r="B10" s="4" t="s">
        <v>25</v>
      </c>
      <c r="C10" s="4" t="s">
        <v>95</v>
      </c>
      <c r="D10" s="4" t="s">
        <v>96</v>
      </c>
      <c r="E10" s="4" t="s">
        <v>97</v>
      </c>
      <c r="F10" s="4" t="s">
        <v>98</v>
      </c>
      <c r="G10" s="4" t="s">
        <v>99</v>
      </c>
      <c r="H10" s="13">
        <v>25000</v>
      </c>
      <c r="I10" s="4" t="s">
        <v>100</v>
      </c>
      <c r="J10" s="4" t="s">
        <v>101</v>
      </c>
      <c r="K10" s="4" t="s">
        <v>102</v>
      </c>
      <c r="L10" s="2"/>
      <c r="M10" s="2" t="s">
        <v>103</v>
      </c>
      <c r="N10" s="2" t="s">
        <v>35</v>
      </c>
      <c r="O10" s="2" t="s">
        <v>36</v>
      </c>
      <c r="P10" s="2" t="s">
        <v>37</v>
      </c>
      <c r="Q10" s="2"/>
      <c r="R10" s="2" t="s">
        <v>38</v>
      </c>
      <c r="S10" s="2" t="s">
        <v>39</v>
      </c>
      <c r="T10" s="2"/>
      <c r="U10" s="2" t="s">
        <v>103</v>
      </c>
      <c r="V10" s="2" t="s">
        <v>40</v>
      </c>
      <c r="W10" s="2"/>
      <c r="X10" s="2" t="s">
        <v>41</v>
      </c>
      <c r="Y10" s="14" t="s">
        <v>42</v>
      </c>
    </row>
    <row r="11" spans="1:25" ht="26.45" customHeight="1">
      <c r="A11" s="4">
        <v>10</v>
      </c>
      <c r="B11" s="4" t="s">
        <v>25</v>
      </c>
      <c r="C11" s="4" t="s">
        <v>104</v>
      </c>
      <c r="D11" s="4" t="s">
        <v>105</v>
      </c>
      <c r="E11" s="4" t="s">
        <v>106</v>
      </c>
      <c r="F11" s="4" t="s">
        <v>29</v>
      </c>
      <c r="G11" s="4" t="s">
        <v>107</v>
      </c>
      <c r="H11" s="13">
        <v>10000</v>
      </c>
      <c r="I11" s="4" t="s">
        <v>31</v>
      </c>
      <c r="J11" s="4" t="s">
        <v>108</v>
      </c>
      <c r="K11" s="4" t="s">
        <v>109</v>
      </c>
      <c r="L11" s="2"/>
      <c r="M11" s="2" t="s">
        <v>110</v>
      </c>
      <c r="N11" s="2" t="s">
        <v>35</v>
      </c>
      <c r="O11" s="2" t="s">
        <v>36</v>
      </c>
      <c r="P11" s="2" t="s">
        <v>37</v>
      </c>
      <c r="Q11" s="2"/>
      <c r="R11" s="2" t="s">
        <v>38</v>
      </c>
      <c r="S11" s="2" t="s">
        <v>39</v>
      </c>
      <c r="T11" s="2"/>
      <c r="U11" s="2" t="s">
        <v>110</v>
      </c>
      <c r="V11" s="2" t="s">
        <v>40</v>
      </c>
      <c r="W11" s="2"/>
      <c r="X11" s="2" t="s">
        <v>41</v>
      </c>
      <c r="Y11" s="14" t="s">
        <v>42</v>
      </c>
    </row>
    <row r="12" spans="1:25" ht="26.45" customHeight="1">
      <c r="A12" s="4">
        <v>11</v>
      </c>
      <c r="B12" s="4" t="s">
        <v>25</v>
      </c>
      <c r="C12" s="4" t="s">
        <v>111</v>
      </c>
      <c r="D12" s="4" t="s">
        <v>112</v>
      </c>
      <c r="E12" s="4" t="s">
        <v>113</v>
      </c>
      <c r="F12" s="4" t="s">
        <v>89</v>
      </c>
      <c r="G12" s="4" t="s">
        <v>114</v>
      </c>
      <c r="H12" s="13">
        <v>35000</v>
      </c>
      <c r="I12" s="4" t="s">
        <v>115</v>
      </c>
      <c r="J12" s="4" t="s">
        <v>116</v>
      </c>
      <c r="K12" s="4" t="s">
        <v>117</v>
      </c>
      <c r="L12" s="2"/>
      <c r="M12" s="2" t="s">
        <v>118</v>
      </c>
      <c r="N12" s="2" t="s">
        <v>35</v>
      </c>
      <c r="O12" s="2" t="s">
        <v>36</v>
      </c>
      <c r="P12" s="2" t="s">
        <v>37</v>
      </c>
      <c r="Q12" s="2"/>
      <c r="R12" s="2" t="s">
        <v>38</v>
      </c>
      <c r="S12" s="2" t="s">
        <v>39</v>
      </c>
      <c r="T12" s="2"/>
      <c r="U12" s="2" t="s">
        <v>118</v>
      </c>
      <c r="V12" s="2" t="s">
        <v>40</v>
      </c>
      <c r="W12" s="2"/>
      <c r="X12" s="2" t="s">
        <v>41</v>
      </c>
      <c r="Y12" s="14" t="s">
        <v>42</v>
      </c>
    </row>
    <row r="13" spans="1:25" ht="26.45" customHeight="1">
      <c r="A13" s="4">
        <v>12</v>
      </c>
      <c r="B13" s="4" t="s">
        <v>25</v>
      </c>
      <c r="C13" s="4" t="s">
        <v>119</v>
      </c>
      <c r="D13" s="4" t="s">
        <v>120</v>
      </c>
      <c r="E13" s="4" t="s">
        <v>71</v>
      </c>
      <c r="F13" s="4" t="s">
        <v>29</v>
      </c>
      <c r="G13" s="4" t="s">
        <v>121</v>
      </c>
      <c r="H13" s="13">
        <v>10000</v>
      </c>
      <c r="I13" s="4" t="s">
        <v>31</v>
      </c>
      <c r="J13" s="4" t="s">
        <v>122</v>
      </c>
      <c r="K13" s="4" t="s">
        <v>123</v>
      </c>
      <c r="L13" s="2"/>
      <c r="M13" s="2" t="s">
        <v>124</v>
      </c>
      <c r="N13" s="2" t="s">
        <v>35</v>
      </c>
      <c r="O13" s="2" t="s">
        <v>36</v>
      </c>
      <c r="P13" s="2" t="s">
        <v>37</v>
      </c>
      <c r="Q13" s="2"/>
      <c r="R13" s="2" t="s">
        <v>38</v>
      </c>
      <c r="S13" s="2" t="s">
        <v>39</v>
      </c>
      <c r="T13" s="2"/>
      <c r="U13" s="2" t="s">
        <v>124</v>
      </c>
      <c r="V13" s="2" t="s">
        <v>40</v>
      </c>
      <c r="W13" s="2"/>
      <c r="X13" s="2" t="s">
        <v>41</v>
      </c>
      <c r="Y13" s="14" t="s">
        <v>42</v>
      </c>
    </row>
    <row r="14" spans="1:25" ht="26.45" customHeight="1">
      <c r="A14" s="4">
        <v>13</v>
      </c>
      <c r="B14" s="4" t="s">
        <v>25</v>
      </c>
      <c r="C14" s="4" t="s">
        <v>125</v>
      </c>
      <c r="D14" s="4" t="s">
        <v>126</v>
      </c>
      <c r="E14" s="4" t="s">
        <v>127</v>
      </c>
      <c r="F14" s="4" t="s">
        <v>29</v>
      </c>
      <c r="G14" s="4" t="s">
        <v>128</v>
      </c>
      <c r="H14" s="13">
        <v>10000</v>
      </c>
      <c r="I14" s="4" t="s">
        <v>31</v>
      </c>
      <c r="J14" s="4" t="s">
        <v>129</v>
      </c>
      <c r="K14" s="4" t="s">
        <v>130</v>
      </c>
      <c r="L14" s="2"/>
      <c r="M14" s="2" t="s">
        <v>131</v>
      </c>
      <c r="N14" s="2" t="s">
        <v>35</v>
      </c>
      <c r="O14" s="2" t="s">
        <v>36</v>
      </c>
      <c r="P14" s="2" t="s">
        <v>37</v>
      </c>
      <c r="Q14" s="2"/>
      <c r="R14" s="2" t="s">
        <v>38</v>
      </c>
      <c r="S14" s="2" t="s">
        <v>39</v>
      </c>
      <c r="T14" s="2"/>
      <c r="U14" s="2" t="s">
        <v>131</v>
      </c>
      <c r="V14" s="2" t="s">
        <v>40</v>
      </c>
      <c r="W14" s="2"/>
      <c r="X14" s="2" t="s">
        <v>41</v>
      </c>
      <c r="Y14" s="14" t="s">
        <v>42</v>
      </c>
    </row>
    <row r="15" spans="1:25" ht="39.6" customHeight="1">
      <c r="A15" s="4">
        <v>14</v>
      </c>
      <c r="B15" s="4" t="s">
        <v>25</v>
      </c>
      <c r="C15" s="4" t="s">
        <v>132</v>
      </c>
      <c r="D15" s="4" t="s">
        <v>133</v>
      </c>
      <c r="E15" s="4" t="s">
        <v>134</v>
      </c>
      <c r="F15" s="4" t="s">
        <v>135</v>
      </c>
      <c r="G15" s="4" t="s">
        <v>136</v>
      </c>
      <c r="H15" s="13">
        <v>35000</v>
      </c>
      <c r="I15" s="4" t="s">
        <v>115</v>
      </c>
      <c r="J15" s="4" t="s">
        <v>137</v>
      </c>
      <c r="K15" s="4" t="s">
        <v>138</v>
      </c>
      <c r="L15" s="2" t="s">
        <v>139</v>
      </c>
      <c r="M15" s="2" t="s">
        <v>140</v>
      </c>
      <c r="N15" s="2" t="s">
        <v>35</v>
      </c>
      <c r="O15" s="2" t="s">
        <v>36</v>
      </c>
      <c r="P15" s="2" t="s">
        <v>37</v>
      </c>
      <c r="Q15" s="2"/>
      <c r="R15" s="2" t="s">
        <v>38</v>
      </c>
      <c r="S15" s="2" t="s">
        <v>39</v>
      </c>
      <c r="T15" s="2"/>
      <c r="U15" s="2" t="s">
        <v>140</v>
      </c>
      <c r="V15" s="2" t="s">
        <v>40</v>
      </c>
      <c r="W15" s="2"/>
      <c r="X15" s="2" t="s">
        <v>41</v>
      </c>
      <c r="Y15" s="14" t="s">
        <v>42</v>
      </c>
    </row>
    <row r="16" spans="1:25" ht="39.6" customHeight="1">
      <c r="A16" s="4">
        <v>15</v>
      </c>
      <c r="B16" s="4" t="s">
        <v>25</v>
      </c>
      <c r="C16" s="4" t="s">
        <v>141</v>
      </c>
      <c r="D16" s="4" t="s">
        <v>142</v>
      </c>
      <c r="E16" s="4" t="s">
        <v>143</v>
      </c>
      <c r="F16" s="4" t="s">
        <v>144</v>
      </c>
      <c r="G16" s="4" t="s">
        <v>145</v>
      </c>
      <c r="H16" s="13">
        <v>10000</v>
      </c>
      <c r="I16" s="4" t="s">
        <v>31</v>
      </c>
      <c r="J16" s="4" t="s">
        <v>146</v>
      </c>
      <c r="K16" s="4" t="s">
        <v>147</v>
      </c>
      <c r="L16" s="2" t="s">
        <v>148</v>
      </c>
      <c r="M16" s="2" t="s">
        <v>149</v>
      </c>
      <c r="N16" s="2" t="s">
        <v>35</v>
      </c>
      <c r="O16" s="2" t="s">
        <v>36</v>
      </c>
      <c r="P16" s="2" t="s">
        <v>37</v>
      </c>
      <c r="Q16" s="2"/>
      <c r="R16" s="2" t="s">
        <v>38</v>
      </c>
      <c r="S16" s="2" t="s">
        <v>39</v>
      </c>
      <c r="T16" s="2"/>
      <c r="U16" s="2" t="s">
        <v>149</v>
      </c>
      <c r="V16" s="2" t="s">
        <v>40</v>
      </c>
      <c r="W16" s="2"/>
      <c r="X16" s="2" t="s">
        <v>41</v>
      </c>
      <c r="Y16" s="14" t="s">
        <v>42</v>
      </c>
    </row>
    <row r="17" spans="1:25" ht="39.6" customHeight="1">
      <c r="A17" s="4">
        <v>16</v>
      </c>
      <c r="B17" s="4" t="s">
        <v>25</v>
      </c>
      <c r="C17" s="4" t="s">
        <v>150</v>
      </c>
      <c r="D17" s="4" t="s">
        <v>151</v>
      </c>
      <c r="E17" s="4" t="s">
        <v>152</v>
      </c>
      <c r="F17" s="4" t="s">
        <v>80</v>
      </c>
      <c r="G17" s="4" t="s">
        <v>153</v>
      </c>
      <c r="H17" s="13">
        <v>10000</v>
      </c>
      <c r="I17" s="4" t="s">
        <v>31</v>
      </c>
      <c r="J17" s="4" t="s">
        <v>154</v>
      </c>
      <c r="K17" s="4" t="s">
        <v>155</v>
      </c>
      <c r="L17" s="2" t="s">
        <v>156</v>
      </c>
      <c r="M17" s="2" t="s">
        <v>157</v>
      </c>
      <c r="N17" s="2" t="s">
        <v>35</v>
      </c>
      <c r="O17" s="2" t="s">
        <v>36</v>
      </c>
      <c r="P17" s="2" t="s">
        <v>37</v>
      </c>
      <c r="Q17" s="2"/>
      <c r="R17" s="2" t="s">
        <v>38</v>
      </c>
      <c r="S17" s="2" t="s">
        <v>39</v>
      </c>
      <c r="T17" s="2"/>
      <c r="U17" s="2" t="s">
        <v>157</v>
      </c>
      <c r="V17" s="2" t="s">
        <v>40</v>
      </c>
      <c r="W17" s="2"/>
      <c r="X17" s="2" t="s">
        <v>41</v>
      </c>
      <c r="Y17" s="14" t="s">
        <v>42</v>
      </c>
    </row>
    <row r="18" spans="1:25" ht="26.45" customHeight="1">
      <c r="A18" s="4">
        <v>17</v>
      </c>
      <c r="B18" s="4" t="s">
        <v>25</v>
      </c>
      <c r="C18" s="4" t="s">
        <v>158</v>
      </c>
      <c r="D18" s="4" t="s">
        <v>44</v>
      </c>
      <c r="E18" s="4" t="s">
        <v>159</v>
      </c>
      <c r="F18" s="4" t="s">
        <v>29</v>
      </c>
      <c r="G18" s="4" t="s">
        <v>160</v>
      </c>
      <c r="H18" s="13">
        <v>10000</v>
      </c>
      <c r="I18" s="4" t="s">
        <v>31</v>
      </c>
      <c r="J18" s="4" t="s">
        <v>161</v>
      </c>
      <c r="K18" s="4" t="s">
        <v>162</v>
      </c>
      <c r="L18" s="2" t="s">
        <v>163</v>
      </c>
      <c r="M18" s="2" t="s">
        <v>164</v>
      </c>
      <c r="N18" s="2" t="s">
        <v>35</v>
      </c>
      <c r="O18" s="2" t="s">
        <v>36</v>
      </c>
      <c r="P18" s="2" t="s">
        <v>37</v>
      </c>
      <c r="Q18" s="2"/>
      <c r="R18" s="2" t="s">
        <v>38</v>
      </c>
      <c r="S18" s="2" t="s">
        <v>39</v>
      </c>
      <c r="T18" s="2"/>
      <c r="U18" s="2" t="s">
        <v>164</v>
      </c>
      <c r="V18" s="2" t="s">
        <v>40</v>
      </c>
      <c r="W18" s="2"/>
      <c r="X18" s="2" t="s">
        <v>41</v>
      </c>
      <c r="Y18" s="14" t="s">
        <v>42</v>
      </c>
    </row>
    <row r="19" spans="1:25" ht="26.45" customHeight="1">
      <c r="A19" s="4">
        <v>18</v>
      </c>
      <c r="B19" s="4" t="s">
        <v>25</v>
      </c>
      <c r="C19" s="4" t="s">
        <v>165</v>
      </c>
      <c r="D19" s="4" t="s">
        <v>166</v>
      </c>
      <c r="E19" s="4" t="s">
        <v>167</v>
      </c>
      <c r="F19" s="4" t="s">
        <v>29</v>
      </c>
      <c r="G19" s="4" t="s">
        <v>168</v>
      </c>
      <c r="H19" s="13">
        <v>10000</v>
      </c>
      <c r="I19" s="4" t="s">
        <v>31</v>
      </c>
      <c r="J19" s="4" t="s">
        <v>108</v>
      </c>
      <c r="K19" s="4" t="s">
        <v>169</v>
      </c>
      <c r="L19" s="2"/>
      <c r="M19" s="2" t="s">
        <v>170</v>
      </c>
      <c r="N19" s="2" t="s">
        <v>35</v>
      </c>
      <c r="O19" s="2" t="s">
        <v>36</v>
      </c>
      <c r="P19" s="2" t="s">
        <v>37</v>
      </c>
      <c r="Q19" s="2"/>
      <c r="R19" s="2" t="s">
        <v>38</v>
      </c>
      <c r="S19" s="2" t="s">
        <v>39</v>
      </c>
      <c r="T19" s="2"/>
      <c r="U19" s="2" t="s">
        <v>170</v>
      </c>
      <c r="V19" s="2" t="s">
        <v>40</v>
      </c>
      <c r="W19" s="2"/>
      <c r="X19" s="2" t="s">
        <v>41</v>
      </c>
      <c r="Y19" s="14" t="s">
        <v>42</v>
      </c>
    </row>
    <row r="20" spans="1:25" ht="26.45" customHeight="1">
      <c r="A20" s="4">
        <v>19</v>
      </c>
      <c r="B20" s="4" t="s">
        <v>25</v>
      </c>
      <c r="C20" s="4" t="s">
        <v>171</v>
      </c>
      <c r="D20" s="4" t="s">
        <v>172</v>
      </c>
      <c r="E20" s="4" t="s">
        <v>173</v>
      </c>
      <c r="F20" s="4" t="s">
        <v>144</v>
      </c>
      <c r="G20" s="4" t="s">
        <v>174</v>
      </c>
      <c r="H20" s="13">
        <v>10000</v>
      </c>
      <c r="I20" s="4" t="s">
        <v>31</v>
      </c>
      <c r="J20" s="4" t="s">
        <v>161</v>
      </c>
      <c r="K20" s="4" t="s">
        <v>175</v>
      </c>
      <c r="L20" s="2" t="s">
        <v>176</v>
      </c>
      <c r="M20" s="2" t="s">
        <v>177</v>
      </c>
      <c r="N20" s="2" t="s">
        <v>35</v>
      </c>
      <c r="O20" s="2" t="s">
        <v>36</v>
      </c>
      <c r="P20" s="2" t="s">
        <v>37</v>
      </c>
      <c r="Q20" s="2"/>
      <c r="R20" s="2" t="s">
        <v>38</v>
      </c>
      <c r="S20" s="2" t="s">
        <v>39</v>
      </c>
      <c r="T20" s="2"/>
      <c r="U20" s="2" t="s">
        <v>177</v>
      </c>
      <c r="V20" s="2" t="s">
        <v>40</v>
      </c>
      <c r="W20" s="2"/>
      <c r="X20" s="2" t="s">
        <v>41</v>
      </c>
      <c r="Y20" s="14" t="s">
        <v>42</v>
      </c>
    </row>
    <row r="21" spans="1:25" ht="26.45" customHeight="1">
      <c r="A21" s="4">
        <v>20</v>
      </c>
      <c r="B21" s="4" t="s">
        <v>25</v>
      </c>
      <c r="C21" s="4" t="s">
        <v>178</v>
      </c>
      <c r="D21" s="4" t="s">
        <v>27</v>
      </c>
      <c r="E21" s="4" t="s">
        <v>179</v>
      </c>
      <c r="F21" s="4" t="s">
        <v>29</v>
      </c>
      <c r="G21" s="4" t="s">
        <v>180</v>
      </c>
      <c r="H21" s="13">
        <v>10000</v>
      </c>
      <c r="I21" s="4" t="s">
        <v>31</v>
      </c>
      <c r="J21" s="4" t="s">
        <v>108</v>
      </c>
      <c r="K21" s="4" t="s">
        <v>181</v>
      </c>
      <c r="L21" s="2"/>
      <c r="M21" s="2" t="s">
        <v>182</v>
      </c>
      <c r="N21" s="2" t="s">
        <v>35</v>
      </c>
      <c r="O21" s="2" t="s">
        <v>36</v>
      </c>
      <c r="P21" s="2" t="s">
        <v>37</v>
      </c>
      <c r="Q21" s="2"/>
      <c r="R21" s="2" t="s">
        <v>38</v>
      </c>
      <c r="S21" s="2" t="s">
        <v>39</v>
      </c>
      <c r="T21" s="2"/>
      <c r="U21" s="2" t="s">
        <v>182</v>
      </c>
      <c r="V21" s="2" t="s">
        <v>40</v>
      </c>
      <c r="W21" s="2"/>
      <c r="X21" s="2" t="s">
        <v>41</v>
      </c>
      <c r="Y21" s="14" t="s">
        <v>42</v>
      </c>
    </row>
    <row r="22" spans="1:25" ht="26.45" customHeight="1">
      <c r="A22" s="4">
        <v>21</v>
      </c>
      <c r="B22" s="4" t="s">
        <v>25</v>
      </c>
      <c r="C22" s="4" t="s">
        <v>183</v>
      </c>
      <c r="D22" s="4" t="s">
        <v>184</v>
      </c>
      <c r="E22" s="4" t="s">
        <v>185</v>
      </c>
      <c r="F22" s="4" t="s">
        <v>80</v>
      </c>
      <c r="G22" s="4" t="s">
        <v>186</v>
      </c>
      <c r="H22" s="13">
        <v>10000</v>
      </c>
      <c r="I22" s="4" t="s">
        <v>31</v>
      </c>
      <c r="J22" s="4" t="s">
        <v>161</v>
      </c>
      <c r="K22" s="4" t="s">
        <v>187</v>
      </c>
      <c r="L22" s="2" t="s">
        <v>188</v>
      </c>
      <c r="M22" s="2" t="s">
        <v>189</v>
      </c>
      <c r="N22" s="2" t="s">
        <v>35</v>
      </c>
      <c r="O22" s="2" t="s">
        <v>36</v>
      </c>
      <c r="P22" s="2" t="s">
        <v>37</v>
      </c>
      <c r="Q22" s="2"/>
      <c r="R22" s="2" t="s">
        <v>38</v>
      </c>
      <c r="S22" s="2" t="s">
        <v>39</v>
      </c>
      <c r="T22" s="2"/>
      <c r="U22" s="2" t="s">
        <v>189</v>
      </c>
      <c r="V22" s="2" t="s">
        <v>40</v>
      </c>
      <c r="W22" s="2"/>
      <c r="X22" s="2" t="s">
        <v>41</v>
      </c>
      <c r="Y22" s="14" t="s">
        <v>42</v>
      </c>
    </row>
    <row r="23" spans="1:25" ht="26.45" customHeight="1">
      <c r="A23" s="4">
        <v>22</v>
      </c>
      <c r="B23" s="4" t="s">
        <v>25</v>
      </c>
      <c r="C23" s="4" t="s">
        <v>190</v>
      </c>
      <c r="D23" s="4" t="s">
        <v>191</v>
      </c>
      <c r="E23" s="4" t="s">
        <v>192</v>
      </c>
      <c r="F23" s="4" t="s">
        <v>144</v>
      </c>
      <c r="G23" s="4" t="s">
        <v>193</v>
      </c>
      <c r="H23" s="13">
        <v>10000</v>
      </c>
      <c r="I23" s="4" t="s">
        <v>31</v>
      </c>
      <c r="J23" s="4" t="s">
        <v>161</v>
      </c>
      <c r="K23" s="4" t="s">
        <v>194</v>
      </c>
      <c r="L23" s="2" t="s">
        <v>195</v>
      </c>
      <c r="M23" s="2" t="s">
        <v>196</v>
      </c>
      <c r="N23" s="2" t="s">
        <v>35</v>
      </c>
      <c r="O23" s="2" t="s">
        <v>36</v>
      </c>
      <c r="P23" s="2" t="s">
        <v>37</v>
      </c>
      <c r="Q23" s="2"/>
      <c r="R23" s="2" t="s">
        <v>38</v>
      </c>
      <c r="S23" s="2" t="s">
        <v>39</v>
      </c>
      <c r="T23" s="2"/>
      <c r="U23" s="2" t="s">
        <v>196</v>
      </c>
      <c r="V23" s="2" t="s">
        <v>40</v>
      </c>
      <c r="W23" s="2"/>
      <c r="X23" s="2" t="s">
        <v>41</v>
      </c>
      <c r="Y23" s="14" t="s">
        <v>42</v>
      </c>
    </row>
    <row r="24" spans="1:25" ht="26.45" customHeight="1">
      <c r="A24" s="4">
        <v>23</v>
      </c>
      <c r="B24" s="4" t="s">
        <v>25</v>
      </c>
      <c r="C24" s="4" t="s">
        <v>197</v>
      </c>
      <c r="D24" s="4" t="s">
        <v>198</v>
      </c>
      <c r="E24" s="4" t="s">
        <v>199</v>
      </c>
      <c r="F24" s="4" t="s">
        <v>144</v>
      </c>
      <c r="G24" s="4" t="s">
        <v>200</v>
      </c>
      <c r="H24" s="13">
        <v>10000</v>
      </c>
      <c r="I24" s="4" t="s">
        <v>31</v>
      </c>
      <c r="J24" s="4" t="s">
        <v>201</v>
      </c>
      <c r="K24" s="4" t="s">
        <v>202</v>
      </c>
      <c r="L24" s="2"/>
      <c r="M24" s="2" t="s">
        <v>203</v>
      </c>
      <c r="N24" s="2" t="s">
        <v>35</v>
      </c>
      <c r="O24" s="2" t="s">
        <v>36</v>
      </c>
      <c r="P24" s="2" t="s">
        <v>37</v>
      </c>
      <c r="Q24" s="2"/>
      <c r="R24" s="2" t="s">
        <v>38</v>
      </c>
      <c r="S24" s="2" t="s">
        <v>39</v>
      </c>
      <c r="T24" s="2"/>
      <c r="U24" s="2" t="s">
        <v>203</v>
      </c>
      <c r="V24" s="2" t="s">
        <v>40</v>
      </c>
      <c r="W24" s="2"/>
      <c r="X24" s="2" t="s">
        <v>41</v>
      </c>
      <c r="Y24" s="14" t="s">
        <v>42</v>
      </c>
    </row>
    <row r="25" spans="1:25" ht="26.45" customHeight="1">
      <c r="A25" s="4">
        <v>24</v>
      </c>
      <c r="B25" s="4" t="s">
        <v>25</v>
      </c>
      <c r="C25" s="4" t="s">
        <v>204</v>
      </c>
      <c r="D25" s="4" t="s">
        <v>205</v>
      </c>
      <c r="E25" s="4" t="s">
        <v>206</v>
      </c>
      <c r="F25" s="4" t="s">
        <v>207</v>
      </c>
      <c r="G25" s="4" t="s">
        <v>208</v>
      </c>
      <c r="H25" s="13">
        <v>20000</v>
      </c>
      <c r="I25" s="4" t="s">
        <v>100</v>
      </c>
      <c r="J25" s="4" t="s">
        <v>209</v>
      </c>
      <c r="K25" s="4" t="s">
        <v>210</v>
      </c>
      <c r="L25" s="2"/>
      <c r="M25" s="2" t="s">
        <v>211</v>
      </c>
      <c r="N25" s="2" t="s">
        <v>35</v>
      </c>
      <c r="O25" s="2" t="s">
        <v>36</v>
      </c>
      <c r="P25" s="2" t="s">
        <v>37</v>
      </c>
      <c r="Q25" s="2"/>
      <c r="R25" s="2" t="s">
        <v>38</v>
      </c>
      <c r="S25" s="2" t="s">
        <v>39</v>
      </c>
      <c r="T25" s="2"/>
      <c r="U25" s="2" t="s">
        <v>211</v>
      </c>
      <c r="V25" s="2" t="s">
        <v>40</v>
      </c>
      <c r="W25" s="2"/>
      <c r="X25" s="2" t="s">
        <v>41</v>
      </c>
      <c r="Y25" s="14" t="s">
        <v>42</v>
      </c>
    </row>
    <row r="26" spans="1:25" ht="39.6" customHeight="1">
      <c r="A26" s="4">
        <v>25</v>
      </c>
      <c r="B26" s="4" t="s">
        <v>25</v>
      </c>
      <c r="C26" s="4" t="s">
        <v>212</v>
      </c>
      <c r="D26" s="4" t="s">
        <v>184</v>
      </c>
      <c r="E26" s="4" t="s">
        <v>213</v>
      </c>
      <c r="F26" s="4" t="s">
        <v>144</v>
      </c>
      <c r="G26" s="4" t="s">
        <v>214</v>
      </c>
      <c r="H26" s="13">
        <v>10000</v>
      </c>
      <c r="I26" s="4" t="s">
        <v>31</v>
      </c>
      <c r="J26" s="4" t="s">
        <v>215</v>
      </c>
      <c r="K26" s="4" t="s">
        <v>216</v>
      </c>
      <c r="L26" s="2" t="s">
        <v>216</v>
      </c>
      <c r="M26" s="2"/>
      <c r="N26" s="2" t="s">
        <v>217</v>
      </c>
      <c r="O26" s="2" t="s">
        <v>216</v>
      </c>
      <c r="P26" s="2" t="s">
        <v>218</v>
      </c>
      <c r="Q26" s="2" t="s">
        <v>219</v>
      </c>
      <c r="R26" s="2" t="s">
        <v>38</v>
      </c>
      <c r="S26" s="2" t="s">
        <v>39</v>
      </c>
      <c r="T26" s="2"/>
      <c r="U26" s="2"/>
      <c r="V26" s="2" t="s">
        <v>220</v>
      </c>
      <c r="W26" s="2"/>
      <c r="X26" s="2" t="s">
        <v>41</v>
      </c>
      <c r="Y26" s="14" t="s">
        <v>42</v>
      </c>
    </row>
    <row r="27" spans="1:25" ht="26.45" customHeight="1">
      <c r="A27" s="4">
        <v>26</v>
      </c>
      <c r="B27" s="4" t="s">
        <v>221</v>
      </c>
      <c r="C27" s="4" t="s">
        <v>222</v>
      </c>
      <c r="D27" s="4" t="s">
        <v>223</v>
      </c>
      <c r="E27" s="4" t="s">
        <v>224</v>
      </c>
      <c r="F27" s="4" t="s">
        <v>207</v>
      </c>
      <c r="G27" s="4" t="s">
        <v>225</v>
      </c>
      <c r="H27" s="13">
        <v>40000</v>
      </c>
      <c r="I27" s="4" t="s">
        <v>226</v>
      </c>
      <c r="J27" s="4" t="s">
        <v>227</v>
      </c>
      <c r="K27" s="4" t="s">
        <v>228</v>
      </c>
      <c r="L27" s="2"/>
      <c r="M27" s="2" t="s">
        <v>229</v>
      </c>
      <c r="N27" s="2" t="s">
        <v>35</v>
      </c>
      <c r="O27" s="2" t="s">
        <v>230</v>
      </c>
      <c r="P27" s="2" t="s">
        <v>37</v>
      </c>
      <c r="Q27" s="2"/>
      <c r="R27" s="2" t="s">
        <v>231</v>
      </c>
      <c r="S27" s="2" t="s">
        <v>232</v>
      </c>
      <c r="T27" s="2" t="s">
        <v>233</v>
      </c>
      <c r="U27" s="2" t="s">
        <v>229</v>
      </c>
      <c r="V27" s="2" t="s">
        <v>40</v>
      </c>
      <c r="W27" s="2" t="s">
        <v>234</v>
      </c>
      <c r="X27" s="2" t="s">
        <v>235</v>
      </c>
      <c r="Y27" s="14" t="s">
        <v>42</v>
      </c>
    </row>
    <row r="28" spans="1:25" ht="26.45" customHeight="1">
      <c r="A28" s="4">
        <v>27</v>
      </c>
      <c r="B28" s="4" t="s">
        <v>221</v>
      </c>
      <c r="C28" s="4" t="s">
        <v>236</v>
      </c>
      <c r="D28" s="4" t="s">
        <v>237</v>
      </c>
      <c r="E28" s="4" t="s">
        <v>238</v>
      </c>
      <c r="F28" s="4" t="s">
        <v>239</v>
      </c>
      <c r="G28" s="4" t="s">
        <v>240</v>
      </c>
      <c r="H28" s="13">
        <v>40000</v>
      </c>
      <c r="I28" s="4" t="s">
        <v>226</v>
      </c>
      <c r="J28" s="4" t="s">
        <v>241</v>
      </c>
      <c r="K28" s="4" t="s">
        <v>242</v>
      </c>
      <c r="L28" s="2"/>
      <c r="M28" s="2" t="s">
        <v>243</v>
      </c>
      <c r="N28" s="2" t="s">
        <v>35</v>
      </c>
      <c r="O28" s="2" t="s">
        <v>230</v>
      </c>
      <c r="P28" s="2" t="s">
        <v>37</v>
      </c>
      <c r="Q28" s="2"/>
      <c r="R28" s="2" t="s">
        <v>244</v>
      </c>
      <c r="S28" s="2" t="s">
        <v>245</v>
      </c>
      <c r="T28" s="2" t="s">
        <v>246</v>
      </c>
      <c r="U28" s="2" t="s">
        <v>243</v>
      </c>
      <c r="V28" s="2" t="s">
        <v>40</v>
      </c>
      <c r="W28" s="2"/>
      <c r="X28" s="2" t="s">
        <v>41</v>
      </c>
      <c r="Y28" s="14" t="s">
        <v>42</v>
      </c>
    </row>
    <row r="29" spans="1:25" ht="26.45" customHeight="1">
      <c r="A29" s="4">
        <v>28</v>
      </c>
      <c r="B29" s="4" t="s">
        <v>221</v>
      </c>
      <c r="C29" s="4" t="s">
        <v>247</v>
      </c>
      <c r="D29" s="4" t="s">
        <v>248</v>
      </c>
      <c r="E29" s="4" t="s">
        <v>249</v>
      </c>
      <c r="F29" s="4" t="s">
        <v>250</v>
      </c>
      <c r="G29" s="4" t="s">
        <v>251</v>
      </c>
      <c r="H29" s="13">
        <v>25000</v>
      </c>
      <c r="I29" s="4" t="s">
        <v>252</v>
      </c>
      <c r="J29" s="4" t="s">
        <v>253</v>
      </c>
      <c r="K29" s="4" t="s">
        <v>254</v>
      </c>
      <c r="L29" s="2"/>
      <c r="M29" s="2" t="s">
        <v>255</v>
      </c>
      <c r="N29" s="2" t="s">
        <v>35</v>
      </c>
      <c r="O29" s="2" t="s">
        <v>230</v>
      </c>
      <c r="P29" s="2" t="s">
        <v>37</v>
      </c>
      <c r="Q29" s="2"/>
      <c r="R29" s="2" t="s">
        <v>38</v>
      </c>
      <c r="S29" s="2" t="s">
        <v>39</v>
      </c>
      <c r="T29" s="2"/>
      <c r="U29" s="2" t="s">
        <v>255</v>
      </c>
      <c r="V29" s="2" t="s">
        <v>40</v>
      </c>
      <c r="W29" s="2"/>
      <c r="X29" s="2" t="s">
        <v>41</v>
      </c>
      <c r="Y29" s="14" t="s">
        <v>42</v>
      </c>
    </row>
    <row r="30" spans="1:25" ht="26.45" customHeight="1">
      <c r="A30" s="4">
        <v>29</v>
      </c>
      <c r="B30" s="4" t="s">
        <v>221</v>
      </c>
      <c r="C30" s="4" t="s">
        <v>256</v>
      </c>
      <c r="D30" s="4" t="s">
        <v>257</v>
      </c>
      <c r="E30" s="4" t="s">
        <v>258</v>
      </c>
      <c r="F30" s="4" t="s">
        <v>239</v>
      </c>
      <c r="G30" s="4" t="s">
        <v>259</v>
      </c>
      <c r="H30" s="13">
        <v>55000</v>
      </c>
      <c r="I30" s="4" t="s">
        <v>260</v>
      </c>
      <c r="J30" s="4" t="s">
        <v>261</v>
      </c>
      <c r="K30" s="4" t="s">
        <v>262</v>
      </c>
      <c r="L30" s="2"/>
      <c r="M30" s="2" t="s">
        <v>263</v>
      </c>
      <c r="N30" s="2" t="s">
        <v>35</v>
      </c>
      <c r="O30" s="2" t="s">
        <v>230</v>
      </c>
      <c r="P30" s="2" t="s">
        <v>37</v>
      </c>
      <c r="Q30" s="2"/>
      <c r="R30" s="2" t="s">
        <v>231</v>
      </c>
      <c r="S30" s="2" t="s">
        <v>264</v>
      </c>
      <c r="T30" s="2" t="s">
        <v>265</v>
      </c>
      <c r="U30" s="2" t="s">
        <v>263</v>
      </c>
      <c r="V30" s="2" t="s">
        <v>40</v>
      </c>
      <c r="W30" s="2" t="s">
        <v>265</v>
      </c>
      <c r="X30" s="2" t="s">
        <v>266</v>
      </c>
      <c r="Y30" s="14" t="s">
        <v>42</v>
      </c>
    </row>
    <row r="31" spans="1:25" ht="26.45" customHeight="1">
      <c r="A31" s="4">
        <v>30</v>
      </c>
      <c r="B31" s="4" t="s">
        <v>221</v>
      </c>
      <c r="C31" s="4" t="s">
        <v>267</v>
      </c>
      <c r="D31" s="4" t="s">
        <v>268</v>
      </c>
      <c r="E31" s="4" t="s">
        <v>269</v>
      </c>
      <c r="F31" s="4" t="s">
        <v>135</v>
      </c>
      <c r="G31" s="4" t="s">
        <v>270</v>
      </c>
      <c r="H31" s="13">
        <v>45000</v>
      </c>
      <c r="I31" s="4" t="s">
        <v>271</v>
      </c>
      <c r="J31" s="4" t="s">
        <v>272</v>
      </c>
      <c r="K31" s="4" t="s">
        <v>273</v>
      </c>
      <c r="L31" s="2"/>
      <c r="M31" s="2" t="s">
        <v>274</v>
      </c>
      <c r="N31" s="2" t="s">
        <v>35</v>
      </c>
      <c r="O31" s="2" t="s">
        <v>230</v>
      </c>
      <c r="P31" s="2" t="s">
        <v>37</v>
      </c>
      <c r="Q31" s="2"/>
      <c r="R31" s="2" t="s">
        <v>38</v>
      </c>
      <c r="S31" s="2" t="s">
        <v>39</v>
      </c>
      <c r="T31" s="2"/>
      <c r="U31" s="2" t="s">
        <v>274</v>
      </c>
      <c r="V31" s="2" t="s">
        <v>40</v>
      </c>
      <c r="W31" s="2"/>
      <c r="X31" s="2" t="s">
        <v>41</v>
      </c>
      <c r="Y31" s="14" t="s">
        <v>42</v>
      </c>
    </row>
    <row r="32" spans="1:25" ht="26.45" customHeight="1">
      <c r="A32" s="4">
        <v>31</v>
      </c>
      <c r="B32" s="4" t="s">
        <v>221</v>
      </c>
      <c r="C32" s="4" t="s">
        <v>275</v>
      </c>
      <c r="D32" s="4" t="s">
        <v>276</v>
      </c>
      <c r="E32" s="4" t="s">
        <v>277</v>
      </c>
      <c r="F32" s="4" t="s">
        <v>29</v>
      </c>
      <c r="G32" s="4" t="s">
        <v>278</v>
      </c>
      <c r="H32" s="13">
        <v>30000</v>
      </c>
      <c r="I32" s="4" t="s">
        <v>279</v>
      </c>
      <c r="J32" s="4" t="s">
        <v>280</v>
      </c>
      <c r="K32" s="4" t="s">
        <v>281</v>
      </c>
      <c r="L32" s="2"/>
      <c r="M32" s="2" t="s">
        <v>282</v>
      </c>
      <c r="N32" s="2" t="s">
        <v>35</v>
      </c>
      <c r="O32" s="2" t="s">
        <v>230</v>
      </c>
      <c r="P32" s="2" t="s">
        <v>37</v>
      </c>
      <c r="Q32" s="2"/>
      <c r="R32" s="2" t="s">
        <v>38</v>
      </c>
      <c r="S32" s="2" t="s">
        <v>39</v>
      </c>
      <c r="T32" s="2"/>
      <c r="U32" s="2" t="s">
        <v>282</v>
      </c>
      <c r="V32" s="2" t="s">
        <v>40</v>
      </c>
      <c r="W32" s="2"/>
      <c r="X32" s="2" t="s">
        <v>41</v>
      </c>
      <c r="Y32" s="14" t="s">
        <v>42</v>
      </c>
    </row>
    <row r="33" spans="1:25" ht="26.45" customHeight="1">
      <c r="A33" s="4">
        <v>32</v>
      </c>
      <c r="B33" s="4" t="s">
        <v>221</v>
      </c>
      <c r="C33" s="4" t="s">
        <v>283</v>
      </c>
      <c r="D33" s="4" t="s">
        <v>284</v>
      </c>
      <c r="E33" s="4" t="s">
        <v>285</v>
      </c>
      <c r="F33" s="4" t="s">
        <v>207</v>
      </c>
      <c r="G33" s="4" t="s">
        <v>286</v>
      </c>
      <c r="H33" s="13">
        <v>18000</v>
      </c>
      <c r="I33" s="4" t="s">
        <v>287</v>
      </c>
      <c r="J33" s="4" t="s">
        <v>288</v>
      </c>
      <c r="K33" s="4" t="s">
        <v>289</v>
      </c>
      <c r="L33" s="2"/>
      <c r="M33" s="2" t="s">
        <v>290</v>
      </c>
      <c r="N33" s="2" t="s">
        <v>35</v>
      </c>
      <c r="O33" s="2" t="s">
        <v>230</v>
      </c>
      <c r="P33" s="2" t="s">
        <v>37</v>
      </c>
      <c r="Q33" s="2"/>
      <c r="R33" s="2" t="s">
        <v>244</v>
      </c>
      <c r="S33" s="2" t="s">
        <v>245</v>
      </c>
      <c r="T33" s="2" t="s">
        <v>291</v>
      </c>
      <c r="U33" s="2" t="s">
        <v>290</v>
      </c>
      <c r="V33" s="2" t="s">
        <v>40</v>
      </c>
      <c r="W33" s="2"/>
      <c r="X33" s="2" t="s">
        <v>41</v>
      </c>
      <c r="Y33" s="14" t="s">
        <v>42</v>
      </c>
    </row>
    <row r="34" spans="1:25" ht="26.45" customHeight="1">
      <c r="A34" s="4">
        <v>33</v>
      </c>
      <c r="B34" s="4" t="s">
        <v>221</v>
      </c>
      <c r="C34" s="4" t="s">
        <v>292</v>
      </c>
      <c r="D34" s="4" t="s">
        <v>293</v>
      </c>
      <c r="E34" s="4" t="s">
        <v>294</v>
      </c>
      <c r="F34" s="4" t="s">
        <v>89</v>
      </c>
      <c r="G34" s="4" t="s">
        <v>295</v>
      </c>
      <c r="H34" s="13">
        <v>65000</v>
      </c>
      <c r="I34" s="4" t="s">
        <v>296</v>
      </c>
      <c r="J34" s="4" t="s">
        <v>297</v>
      </c>
      <c r="K34" s="4" t="s">
        <v>298</v>
      </c>
      <c r="L34" s="2"/>
      <c r="M34" s="2" t="s">
        <v>299</v>
      </c>
      <c r="N34" s="2" t="s">
        <v>35</v>
      </c>
      <c r="O34" s="2" t="s">
        <v>230</v>
      </c>
      <c r="P34" s="2" t="s">
        <v>37</v>
      </c>
      <c r="Q34" s="2"/>
      <c r="R34" s="2" t="s">
        <v>231</v>
      </c>
      <c r="S34" s="2" t="s">
        <v>300</v>
      </c>
      <c r="T34" s="2" t="s">
        <v>301</v>
      </c>
      <c r="U34" s="2" t="s">
        <v>299</v>
      </c>
      <c r="V34" s="2" t="s">
        <v>40</v>
      </c>
      <c r="W34" s="2" t="s">
        <v>302</v>
      </c>
      <c r="X34" s="2" t="s">
        <v>303</v>
      </c>
      <c r="Y34" s="14" t="s">
        <v>42</v>
      </c>
    </row>
    <row r="35" spans="1:25" ht="26.45" customHeight="1">
      <c r="A35" s="4">
        <v>34</v>
      </c>
      <c r="B35" s="4" t="s">
        <v>221</v>
      </c>
      <c r="C35" s="4" t="s">
        <v>304</v>
      </c>
      <c r="D35" s="4" t="s">
        <v>305</v>
      </c>
      <c r="E35" s="4" t="s">
        <v>306</v>
      </c>
      <c r="F35" s="4" t="s">
        <v>239</v>
      </c>
      <c r="G35" s="4" t="s">
        <v>307</v>
      </c>
      <c r="H35" s="13">
        <v>40000</v>
      </c>
      <c r="I35" s="4" t="s">
        <v>308</v>
      </c>
      <c r="J35" s="4" t="s">
        <v>309</v>
      </c>
      <c r="K35" s="4" t="s">
        <v>310</v>
      </c>
      <c r="L35" s="2"/>
      <c r="M35" s="2" t="s">
        <v>311</v>
      </c>
      <c r="N35" s="2" t="s">
        <v>35</v>
      </c>
      <c r="O35" s="2" t="s">
        <v>230</v>
      </c>
      <c r="P35" s="2" t="s">
        <v>37</v>
      </c>
      <c r="Q35" s="2"/>
      <c r="R35" s="2" t="s">
        <v>38</v>
      </c>
      <c r="S35" s="2" t="s">
        <v>39</v>
      </c>
      <c r="T35" s="2"/>
      <c r="U35" s="2" t="s">
        <v>311</v>
      </c>
      <c r="V35" s="2" t="s">
        <v>40</v>
      </c>
      <c r="W35" s="2"/>
      <c r="X35" s="2" t="s">
        <v>41</v>
      </c>
      <c r="Y35" s="14" t="s">
        <v>42</v>
      </c>
    </row>
    <row r="36" spans="1:25" ht="26.45" customHeight="1">
      <c r="A36" s="4">
        <v>35</v>
      </c>
      <c r="B36" s="4" t="s">
        <v>221</v>
      </c>
      <c r="C36" s="4" t="s">
        <v>312</v>
      </c>
      <c r="D36" s="4" t="s">
        <v>268</v>
      </c>
      <c r="E36" s="4" t="s">
        <v>313</v>
      </c>
      <c r="F36" s="4" t="s">
        <v>239</v>
      </c>
      <c r="G36" s="4" t="s">
        <v>314</v>
      </c>
      <c r="H36" s="13">
        <v>40000</v>
      </c>
      <c r="I36" s="4" t="s">
        <v>226</v>
      </c>
      <c r="J36" s="4" t="s">
        <v>272</v>
      </c>
      <c r="K36" s="4" t="s">
        <v>315</v>
      </c>
      <c r="L36" s="2"/>
      <c r="M36" s="2" t="s">
        <v>316</v>
      </c>
      <c r="N36" s="2" t="s">
        <v>35</v>
      </c>
      <c r="O36" s="2" t="s">
        <v>230</v>
      </c>
      <c r="P36" s="2" t="s">
        <v>37</v>
      </c>
      <c r="Q36" s="2"/>
      <c r="R36" s="2" t="s">
        <v>231</v>
      </c>
      <c r="S36" s="2" t="s">
        <v>317</v>
      </c>
      <c r="T36" s="2" t="s">
        <v>318</v>
      </c>
      <c r="U36" s="2" t="s">
        <v>316</v>
      </c>
      <c r="V36" s="2" t="s">
        <v>40</v>
      </c>
      <c r="W36" s="2" t="s">
        <v>318</v>
      </c>
      <c r="X36" s="2" t="s">
        <v>319</v>
      </c>
      <c r="Y36" s="14" t="s">
        <v>42</v>
      </c>
    </row>
    <row r="37" spans="1:25" ht="26.45" customHeight="1">
      <c r="A37" s="4">
        <v>36</v>
      </c>
      <c r="B37" s="4" t="s">
        <v>221</v>
      </c>
      <c r="C37" s="4" t="s">
        <v>320</v>
      </c>
      <c r="D37" s="4" t="s">
        <v>321</v>
      </c>
      <c r="E37" s="4" t="s">
        <v>322</v>
      </c>
      <c r="F37" s="4" t="s">
        <v>239</v>
      </c>
      <c r="G37" s="4" t="s">
        <v>323</v>
      </c>
      <c r="H37" s="13">
        <v>35000</v>
      </c>
      <c r="I37" s="4" t="s">
        <v>324</v>
      </c>
      <c r="J37" s="4" t="s">
        <v>325</v>
      </c>
      <c r="K37" s="4" t="s">
        <v>326</v>
      </c>
      <c r="L37" s="2"/>
      <c r="M37" s="2" t="s">
        <v>327</v>
      </c>
      <c r="N37" s="2" t="s">
        <v>35</v>
      </c>
      <c r="O37" s="2" t="s">
        <v>230</v>
      </c>
      <c r="P37" s="2" t="s">
        <v>37</v>
      </c>
      <c r="Q37" s="2"/>
      <c r="R37" s="2" t="s">
        <v>231</v>
      </c>
      <c r="S37" s="2" t="s">
        <v>328</v>
      </c>
      <c r="T37" s="2" t="s">
        <v>329</v>
      </c>
      <c r="U37" s="2" t="s">
        <v>327</v>
      </c>
      <c r="V37" s="2" t="s">
        <v>40</v>
      </c>
      <c r="W37" s="2" t="s">
        <v>329</v>
      </c>
      <c r="X37" s="2" t="s">
        <v>330</v>
      </c>
      <c r="Y37" s="14" t="s">
        <v>42</v>
      </c>
    </row>
    <row r="38" spans="1:25" ht="26.45" customHeight="1">
      <c r="A38" s="4">
        <v>37</v>
      </c>
      <c r="B38" s="4" t="s">
        <v>221</v>
      </c>
      <c r="C38" s="4" t="s">
        <v>331</v>
      </c>
      <c r="D38" s="4" t="s">
        <v>332</v>
      </c>
      <c r="E38" s="4" t="s">
        <v>333</v>
      </c>
      <c r="F38" s="4" t="s">
        <v>334</v>
      </c>
      <c r="G38" s="4" t="s">
        <v>335</v>
      </c>
      <c r="H38" s="13">
        <v>40000</v>
      </c>
      <c r="I38" s="4" t="s">
        <v>308</v>
      </c>
      <c r="J38" s="4" t="s">
        <v>336</v>
      </c>
      <c r="K38" s="4" t="s">
        <v>337</v>
      </c>
      <c r="L38" s="2"/>
      <c r="M38" s="2" t="s">
        <v>338</v>
      </c>
      <c r="N38" s="2" t="s">
        <v>35</v>
      </c>
      <c r="O38" s="2" t="s">
        <v>230</v>
      </c>
      <c r="P38" s="2" t="s">
        <v>37</v>
      </c>
      <c r="Q38" s="2"/>
      <c r="R38" s="2" t="s">
        <v>244</v>
      </c>
      <c r="S38" s="2" t="s">
        <v>339</v>
      </c>
      <c r="T38" s="2" t="s">
        <v>340</v>
      </c>
      <c r="U38" s="2" t="s">
        <v>338</v>
      </c>
      <c r="V38" s="2" t="s">
        <v>40</v>
      </c>
      <c r="W38" s="2" t="s">
        <v>341</v>
      </c>
      <c r="X38" s="2" t="s">
        <v>342</v>
      </c>
      <c r="Y38" s="14" t="s">
        <v>42</v>
      </c>
    </row>
    <row r="39" spans="1:25" ht="26.45" customHeight="1">
      <c r="A39" s="4">
        <v>38</v>
      </c>
      <c r="B39" s="4" t="s">
        <v>221</v>
      </c>
      <c r="C39" s="4" t="s">
        <v>343</v>
      </c>
      <c r="D39" s="4" t="s">
        <v>321</v>
      </c>
      <c r="E39" s="4" t="s">
        <v>344</v>
      </c>
      <c r="F39" s="4" t="s">
        <v>239</v>
      </c>
      <c r="G39" s="4" t="s">
        <v>345</v>
      </c>
      <c r="H39" s="13">
        <v>35000</v>
      </c>
      <c r="I39" s="4" t="s">
        <v>324</v>
      </c>
      <c r="J39" s="4" t="s">
        <v>325</v>
      </c>
      <c r="K39" s="4" t="s">
        <v>346</v>
      </c>
      <c r="L39" s="2"/>
      <c r="M39" s="2" t="s">
        <v>347</v>
      </c>
      <c r="N39" s="2" t="s">
        <v>35</v>
      </c>
      <c r="O39" s="2" t="s">
        <v>230</v>
      </c>
      <c r="P39" s="2" t="s">
        <v>37</v>
      </c>
      <c r="Q39" s="2"/>
      <c r="R39" s="2" t="s">
        <v>38</v>
      </c>
      <c r="S39" s="2" t="s">
        <v>39</v>
      </c>
      <c r="T39" s="2"/>
      <c r="U39" s="2" t="s">
        <v>347</v>
      </c>
      <c r="V39" s="2" t="s">
        <v>40</v>
      </c>
      <c r="W39" s="2"/>
      <c r="X39" s="2" t="s">
        <v>41</v>
      </c>
      <c r="Y39" s="14" t="s">
        <v>42</v>
      </c>
    </row>
    <row r="40" spans="1:25" ht="26.45" customHeight="1">
      <c r="A40" s="4">
        <v>39</v>
      </c>
      <c r="B40" s="4" t="s">
        <v>221</v>
      </c>
      <c r="C40" s="4" t="s">
        <v>348</v>
      </c>
      <c r="D40" s="4" t="s">
        <v>349</v>
      </c>
      <c r="E40" s="4" t="s">
        <v>350</v>
      </c>
      <c r="F40" s="4" t="s">
        <v>351</v>
      </c>
      <c r="G40" s="4" t="s">
        <v>352</v>
      </c>
      <c r="H40" s="13">
        <v>30000</v>
      </c>
      <c r="I40" s="4" t="s">
        <v>279</v>
      </c>
      <c r="J40" s="4" t="s">
        <v>353</v>
      </c>
      <c r="K40" s="4" t="s">
        <v>354</v>
      </c>
      <c r="L40" s="2"/>
      <c r="M40" s="2" t="s">
        <v>355</v>
      </c>
      <c r="N40" s="2" t="s">
        <v>35</v>
      </c>
      <c r="O40" s="2" t="s">
        <v>230</v>
      </c>
      <c r="P40" s="2" t="s">
        <v>37</v>
      </c>
      <c r="Q40" s="2"/>
      <c r="R40" s="2" t="s">
        <v>38</v>
      </c>
      <c r="S40" s="2" t="s">
        <v>39</v>
      </c>
      <c r="T40" s="2"/>
      <c r="U40" s="2" t="s">
        <v>355</v>
      </c>
      <c r="V40" s="2" t="s">
        <v>40</v>
      </c>
      <c r="W40" s="2"/>
      <c r="X40" s="2" t="s">
        <v>41</v>
      </c>
      <c r="Y40" s="14" t="s">
        <v>42</v>
      </c>
    </row>
    <row r="41" spans="1:25" ht="26.45" customHeight="1">
      <c r="A41" s="4">
        <v>40</v>
      </c>
      <c r="B41" s="4" t="s">
        <v>221</v>
      </c>
      <c r="C41" s="4" t="s">
        <v>356</v>
      </c>
      <c r="D41" s="4" t="s">
        <v>357</v>
      </c>
      <c r="E41" s="4" t="s">
        <v>358</v>
      </c>
      <c r="F41" s="4" t="s">
        <v>359</v>
      </c>
      <c r="G41" s="4" t="s">
        <v>360</v>
      </c>
      <c r="H41" s="13">
        <v>50000</v>
      </c>
      <c r="I41" s="4" t="s">
        <v>361</v>
      </c>
      <c r="J41" s="4" t="s">
        <v>362</v>
      </c>
      <c r="K41" s="4" t="s">
        <v>363</v>
      </c>
      <c r="L41" s="2"/>
      <c r="M41" s="2" t="s">
        <v>364</v>
      </c>
      <c r="N41" s="2" t="s">
        <v>35</v>
      </c>
      <c r="O41" s="2" t="s">
        <v>230</v>
      </c>
      <c r="P41" s="2" t="s">
        <v>37</v>
      </c>
      <c r="Q41" s="2"/>
      <c r="R41" s="2" t="s">
        <v>38</v>
      </c>
      <c r="S41" s="2" t="s">
        <v>39</v>
      </c>
      <c r="T41" s="2"/>
      <c r="U41" s="2" t="s">
        <v>364</v>
      </c>
      <c r="V41" s="2" t="s">
        <v>40</v>
      </c>
      <c r="W41" s="2"/>
      <c r="X41" s="2" t="s">
        <v>41</v>
      </c>
      <c r="Y41" s="14" t="s">
        <v>42</v>
      </c>
    </row>
    <row r="42" spans="1:25" ht="26.45" customHeight="1">
      <c r="A42" s="4">
        <v>41</v>
      </c>
      <c r="B42" s="4" t="s">
        <v>221</v>
      </c>
      <c r="C42" s="4" t="s">
        <v>365</v>
      </c>
      <c r="D42" s="4" t="s">
        <v>366</v>
      </c>
      <c r="E42" s="4" t="s">
        <v>367</v>
      </c>
      <c r="F42" s="4" t="s">
        <v>89</v>
      </c>
      <c r="G42" s="4" t="s">
        <v>368</v>
      </c>
      <c r="H42" s="13">
        <v>60000</v>
      </c>
      <c r="I42" s="4" t="s">
        <v>369</v>
      </c>
      <c r="J42" s="4" t="s">
        <v>370</v>
      </c>
      <c r="K42" s="4" t="s">
        <v>371</v>
      </c>
      <c r="L42" s="2"/>
      <c r="M42" s="2" t="s">
        <v>372</v>
      </c>
      <c r="N42" s="2" t="s">
        <v>35</v>
      </c>
      <c r="O42" s="2" t="s">
        <v>230</v>
      </c>
      <c r="P42" s="2" t="s">
        <v>37</v>
      </c>
      <c r="Q42" s="2"/>
      <c r="R42" s="2" t="s">
        <v>38</v>
      </c>
      <c r="S42" s="2" t="s">
        <v>39</v>
      </c>
      <c r="T42" s="2"/>
      <c r="U42" s="2" t="s">
        <v>372</v>
      </c>
      <c r="V42" s="2" t="s">
        <v>40</v>
      </c>
      <c r="W42" s="2"/>
      <c r="X42" s="2" t="s">
        <v>41</v>
      </c>
      <c r="Y42" s="14" t="s">
        <v>42</v>
      </c>
    </row>
    <row r="43" spans="1:25" ht="39.6" customHeight="1">
      <c r="A43" s="4">
        <v>42</v>
      </c>
      <c r="B43" s="4" t="s">
        <v>221</v>
      </c>
      <c r="C43" s="4" t="s">
        <v>373</v>
      </c>
      <c r="D43" s="4" t="s">
        <v>374</v>
      </c>
      <c r="E43" s="4" t="s">
        <v>375</v>
      </c>
      <c r="F43" s="4" t="s">
        <v>135</v>
      </c>
      <c r="G43" s="4" t="s">
        <v>376</v>
      </c>
      <c r="H43" s="13">
        <v>40000</v>
      </c>
      <c r="I43" s="4" t="s">
        <v>308</v>
      </c>
      <c r="J43" s="4" t="s">
        <v>377</v>
      </c>
      <c r="K43" s="4" t="s">
        <v>378</v>
      </c>
      <c r="L43" s="2" t="s">
        <v>378</v>
      </c>
      <c r="M43" s="2" t="s">
        <v>379</v>
      </c>
      <c r="N43" s="2" t="s">
        <v>35</v>
      </c>
      <c r="O43" s="2" t="s">
        <v>230</v>
      </c>
      <c r="P43" s="2" t="s">
        <v>37</v>
      </c>
      <c r="Q43" s="2"/>
      <c r="R43" s="2" t="s">
        <v>38</v>
      </c>
      <c r="S43" s="2" t="s">
        <v>39</v>
      </c>
      <c r="T43" s="2"/>
      <c r="U43" s="2" t="s">
        <v>379</v>
      </c>
      <c r="V43" s="2" t="s">
        <v>40</v>
      </c>
      <c r="W43" s="2"/>
      <c r="X43" s="2" t="s">
        <v>41</v>
      </c>
      <c r="Y43" s="14" t="s">
        <v>42</v>
      </c>
    </row>
    <row r="44" spans="1:25" ht="26.45" customHeight="1">
      <c r="A44" s="4">
        <v>43</v>
      </c>
      <c r="B44" s="4" t="s">
        <v>221</v>
      </c>
      <c r="C44" s="4" t="s">
        <v>380</v>
      </c>
      <c r="D44" s="4" t="s">
        <v>381</v>
      </c>
      <c r="E44" s="4" t="s">
        <v>382</v>
      </c>
      <c r="F44" s="4" t="s">
        <v>29</v>
      </c>
      <c r="G44" s="4" t="s">
        <v>383</v>
      </c>
      <c r="H44" s="13">
        <v>25000</v>
      </c>
      <c r="I44" s="4" t="s">
        <v>384</v>
      </c>
      <c r="J44" s="4" t="s">
        <v>385</v>
      </c>
      <c r="K44" s="4" t="s">
        <v>386</v>
      </c>
      <c r="L44" s="2"/>
      <c r="M44" s="2" t="s">
        <v>387</v>
      </c>
      <c r="N44" s="2" t="s">
        <v>35</v>
      </c>
      <c r="O44" s="2" t="s">
        <v>230</v>
      </c>
      <c r="P44" s="2" t="s">
        <v>37</v>
      </c>
      <c r="Q44" s="2"/>
      <c r="R44" s="2" t="s">
        <v>38</v>
      </c>
      <c r="S44" s="2" t="s">
        <v>39</v>
      </c>
      <c r="T44" s="2"/>
      <c r="U44" s="2" t="s">
        <v>387</v>
      </c>
      <c r="V44" s="2" t="s">
        <v>40</v>
      </c>
      <c r="W44" s="2"/>
      <c r="X44" s="2" t="s">
        <v>41</v>
      </c>
      <c r="Y44" s="14" t="s">
        <v>42</v>
      </c>
    </row>
    <row r="45" spans="1:25" ht="26.45" customHeight="1">
      <c r="A45" s="4">
        <v>44</v>
      </c>
      <c r="B45" s="4" t="s">
        <v>221</v>
      </c>
      <c r="C45" s="4" t="s">
        <v>388</v>
      </c>
      <c r="D45" s="4" t="s">
        <v>389</v>
      </c>
      <c r="E45" s="4" t="s">
        <v>390</v>
      </c>
      <c r="F45" s="4" t="s">
        <v>29</v>
      </c>
      <c r="G45" s="4" t="s">
        <v>391</v>
      </c>
      <c r="H45" s="13">
        <v>22000</v>
      </c>
      <c r="I45" s="4" t="s">
        <v>392</v>
      </c>
      <c r="J45" s="4" t="s">
        <v>393</v>
      </c>
      <c r="K45" s="4" t="s">
        <v>394</v>
      </c>
      <c r="L45" s="2"/>
      <c r="M45" s="2" t="s">
        <v>395</v>
      </c>
      <c r="N45" s="2" t="s">
        <v>35</v>
      </c>
      <c r="O45" s="2" t="s">
        <v>230</v>
      </c>
      <c r="P45" s="2" t="s">
        <v>37</v>
      </c>
      <c r="Q45" s="2"/>
      <c r="R45" s="2" t="s">
        <v>231</v>
      </c>
      <c r="S45" s="2" t="s">
        <v>396</v>
      </c>
      <c r="T45" s="2" t="s">
        <v>397</v>
      </c>
      <c r="U45" s="2" t="s">
        <v>395</v>
      </c>
      <c r="V45" s="2" t="s">
        <v>40</v>
      </c>
      <c r="W45" s="2" t="s">
        <v>397</v>
      </c>
      <c r="X45" s="2" t="s">
        <v>398</v>
      </c>
      <c r="Y45" s="14" t="s">
        <v>42</v>
      </c>
    </row>
    <row r="46" spans="1:25" ht="26.45" customHeight="1">
      <c r="A46" s="4">
        <v>45</v>
      </c>
      <c r="B46" s="4" t="s">
        <v>221</v>
      </c>
      <c r="C46" s="4" t="s">
        <v>399</v>
      </c>
      <c r="D46" s="4" t="s">
        <v>400</v>
      </c>
      <c r="E46" s="4" t="s">
        <v>401</v>
      </c>
      <c r="F46" s="4" t="s">
        <v>98</v>
      </c>
      <c r="G46" s="4" t="s">
        <v>402</v>
      </c>
      <c r="H46" s="13">
        <v>40000</v>
      </c>
      <c r="I46" s="4" t="s">
        <v>226</v>
      </c>
      <c r="J46" s="4" t="s">
        <v>362</v>
      </c>
      <c r="K46" s="4" t="s">
        <v>403</v>
      </c>
      <c r="L46" s="2"/>
      <c r="M46" s="2" t="s">
        <v>404</v>
      </c>
      <c r="N46" s="2" t="s">
        <v>35</v>
      </c>
      <c r="O46" s="2" t="s">
        <v>230</v>
      </c>
      <c r="P46" s="2" t="s">
        <v>37</v>
      </c>
      <c r="Q46" s="2"/>
      <c r="R46" s="2" t="s">
        <v>38</v>
      </c>
      <c r="S46" s="2" t="s">
        <v>39</v>
      </c>
      <c r="T46" s="2"/>
      <c r="U46" s="2" t="s">
        <v>404</v>
      </c>
      <c r="V46" s="2" t="s">
        <v>40</v>
      </c>
      <c r="W46" s="2"/>
      <c r="X46" s="2" t="s">
        <v>41</v>
      </c>
      <c r="Y46" s="14" t="s">
        <v>42</v>
      </c>
    </row>
    <row r="47" spans="1:25" ht="26.45" customHeight="1">
      <c r="A47" s="4">
        <v>46</v>
      </c>
      <c r="B47" s="4" t="s">
        <v>221</v>
      </c>
      <c r="C47" s="4" t="s">
        <v>405</v>
      </c>
      <c r="D47" s="4" t="s">
        <v>406</v>
      </c>
      <c r="E47" s="4" t="s">
        <v>407</v>
      </c>
      <c r="F47" s="4" t="s">
        <v>408</v>
      </c>
      <c r="G47" s="4" t="s">
        <v>409</v>
      </c>
      <c r="H47" s="13">
        <v>25000</v>
      </c>
      <c r="I47" s="4" t="s">
        <v>410</v>
      </c>
      <c r="J47" s="4" t="s">
        <v>161</v>
      </c>
      <c r="K47" s="4" t="s">
        <v>411</v>
      </c>
      <c r="L47" s="2" t="s">
        <v>412</v>
      </c>
      <c r="M47" s="2" t="s">
        <v>413</v>
      </c>
      <c r="N47" s="2" t="s">
        <v>35</v>
      </c>
      <c r="O47" s="2" t="s">
        <v>230</v>
      </c>
      <c r="P47" s="2" t="s">
        <v>37</v>
      </c>
      <c r="Q47" s="2"/>
      <c r="R47" s="2" t="s">
        <v>38</v>
      </c>
      <c r="S47" s="2" t="s">
        <v>39</v>
      </c>
      <c r="T47" s="2"/>
      <c r="U47" s="2" t="s">
        <v>413</v>
      </c>
      <c r="V47" s="2" t="s">
        <v>40</v>
      </c>
      <c r="W47" s="2"/>
      <c r="X47" s="2" t="s">
        <v>41</v>
      </c>
      <c r="Y47" s="14" t="s">
        <v>42</v>
      </c>
    </row>
    <row r="48" spans="1:25" ht="26.45" customHeight="1">
      <c r="A48" s="4">
        <v>47</v>
      </c>
      <c r="B48" s="4" t="s">
        <v>221</v>
      </c>
      <c r="C48" s="4" t="s">
        <v>414</v>
      </c>
      <c r="D48" s="4" t="s">
        <v>415</v>
      </c>
      <c r="E48" s="4" t="s">
        <v>416</v>
      </c>
      <c r="F48" s="4" t="s">
        <v>29</v>
      </c>
      <c r="G48" s="4" t="s">
        <v>417</v>
      </c>
      <c r="H48" s="13">
        <v>25000</v>
      </c>
      <c r="I48" s="4" t="s">
        <v>384</v>
      </c>
      <c r="J48" s="4" t="s">
        <v>418</v>
      </c>
      <c r="K48" s="4" t="s">
        <v>419</v>
      </c>
      <c r="L48" s="2"/>
      <c r="M48" s="2" t="s">
        <v>420</v>
      </c>
      <c r="N48" s="2" t="s">
        <v>35</v>
      </c>
      <c r="O48" s="2" t="s">
        <v>230</v>
      </c>
      <c r="P48" s="2" t="s">
        <v>37</v>
      </c>
      <c r="Q48" s="2"/>
      <c r="R48" s="2" t="s">
        <v>38</v>
      </c>
      <c r="S48" s="2" t="s">
        <v>39</v>
      </c>
      <c r="T48" s="2"/>
      <c r="U48" s="2" t="s">
        <v>420</v>
      </c>
      <c r="V48" s="2" t="s">
        <v>40</v>
      </c>
      <c r="W48" s="2"/>
      <c r="X48" s="2" t="s">
        <v>41</v>
      </c>
      <c r="Y48" s="14" t="s">
        <v>42</v>
      </c>
    </row>
    <row r="49" spans="1:25" ht="26.45" customHeight="1">
      <c r="A49" s="4">
        <v>48</v>
      </c>
      <c r="B49" s="4" t="s">
        <v>221</v>
      </c>
      <c r="C49" s="4" t="s">
        <v>421</v>
      </c>
      <c r="D49" s="4" t="s">
        <v>422</v>
      </c>
      <c r="E49" s="4" t="s">
        <v>423</v>
      </c>
      <c r="F49" s="4" t="s">
        <v>250</v>
      </c>
      <c r="G49" s="4" t="s">
        <v>424</v>
      </c>
      <c r="H49" s="13">
        <v>18000</v>
      </c>
      <c r="I49" s="4" t="s">
        <v>425</v>
      </c>
      <c r="J49" s="4" t="s">
        <v>161</v>
      </c>
      <c r="K49" s="4" t="s">
        <v>426</v>
      </c>
      <c r="L49" s="2" t="s">
        <v>427</v>
      </c>
      <c r="M49" s="2"/>
      <c r="N49" s="2" t="s">
        <v>217</v>
      </c>
      <c r="O49" s="2" t="s">
        <v>426</v>
      </c>
      <c r="P49" s="2" t="s">
        <v>218</v>
      </c>
      <c r="Q49" s="2" t="s">
        <v>428</v>
      </c>
      <c r="R49" s="2" t="s">
        <v>38</v>
      </c>
      <c r="S49" s="2" t="s">
        <v>39</v>
      </c>
      <c r="T49" s="2"/>
      <c r="U49" s="2"/>
      <c r="V49" s="2" t="s">
        <v>220</v>
      </c>
      <c r="W49" s="2"/>
      <c r="X49" s="2" t="s">
        <v>41</v>
      </c>
      <c r="Y49" s="14" t="s">
        <v>42</v>
      </c>
    </row>
    <row r="50" spans="1:25" ht="26.45" customHeight="1">
      <c r="A50" s="4">
        <v>49</v>
      </c>
      <c r="B50" s="4" t="s">
        <v>221</v>
      </c>
      <c r="C50" s="4" t="s">
        <v>429</v>
      </c>
      <c r="D50" s="4" t="s">
        <v>389</v>
      </c>
      <c r="E50" s="4" t="s">
        <v>430</v>
      </c>
      <c r="F50" s="4" t="s">
        <v>29</v>
      </c>
      <c r="G50" s="4" t="s">
        <v>431</v>
      </c>
      <c r="H50" s="13">
        <v>20000</v>
      </c>
      <c r="I50" s="4" t="s">
        <v>392</v>
      </c>
      <c r="J50" s="4" t="s">
        <v>432</v>
      </c>
      <c r="K50" s="4" t="s">
        <v>433</v>
      </c>
      <c r="L50" s="2"/>
      <c r="M50" s="2" t="s">
        <v>434</v>
      </c>
      <c r="N50" s="2" t="s">
        <v>35</v>
      </c>
      <c r="O50" s="2" t="s">
        <v>230</v>
      </c>
      <c r="P50" s="2" t="s">
        <v>37</v>
      </c>
      <c r="Q50" s="2"/>
      <c r="R50" s="2" t="s">
        <v>38</v>
      </c>
      <c r="S50" s="2" t="s">
        <v>39</v>
      </c>
      <c r="T50" s="2"/>
      <c r="U50" s="2" t="s">
        <v>434</v>
      </c>
      <c r="V50" s="2" t="s">
        <v>40</v>
      </c>
      <c r="W50" s="2"/>
      <c r="X50" s="2" t="s">
        <v>41</v>
      </c>
      <c r="Y50" s="14" t="s">
        <v>42</v>
      </c>
    </row>
    <row r="51" spans="1:25" ht="39.6" customHeight="1">
      <c r="A51" s="4">
        <v>50</v>
      </c>
      <c r="B51" s="4" t="s">
        <v>221</v>
      </c>
      <c r="C51" s="4" t="s">
        <v>435</v>
      </c>
      <c r="D51" s="4" t="s">
        <v>436</v>
      </c>
      <c r="E51" s="4" t="s">
        <v>437</v>
      </c>
      <c r="F51" s="4" t="s">
        <v>89</v>
      </c>
      <c r="G51" s="4" t="s">
        <v>438</v>
      </c>
      <c r="H51" s="13">
        <v>45000</v>
      </c>
      <c r="I51" s="4" t="s">
        <v>439</v>
      </c>
      <c r="J51" s="4" t="s">
        <v>440</v>
      </c>
      <c r="K51" s="4" t="s">
        <v>441</v>
      </c>
      <c r="L51" s="2" t="s">
        <v>441</v>
      </c>
      <c r="M51" s="2" t="s">
        <v>442</v>
      </c>
      <c r="N51" s="2" t="s">
        <v>35</v>
      </c>
      <c r="O51" s="2" t="s">
        <v>230</v>
      </c>
      <c r="P51" s="2" t="s">
        <v>37</v>
      </c>
      <c r="Q51" s="2"/>
      <c r="R51" s="2" t="s">
        <v>38</v>
      </c>
      <c r="S51" s="2" t="s">
        <v>39</v>
      </c>
      <c r="T51" s="2"/>
      <c r="U51" s="2" t="s">
        <v>442</v>
      </c>
      <c r="V51" s="2" t="s">
        <v>40</v>
      </c>
      <c r="W51" s="2"/>
      <c r="X51" s="2" t="s">
        <v>41</v>
      </c>
      <c r="Y51" s="14" t="s">
        <v>42</v>
      </c>
    </row>
    <row r="52" spans="1:25" ht="26.45" customHeight="1">
      <c r="A52" s="4">
        <v>51</v>
      </c>
      <c r="B52" s="4" t="s">
        <v>221</v>
      </c>
      <c r="C52" s="4" t="s">
        <v>443</v>
      </c>
      <c r="D52" s="4" t="s">
        <v>444</v>
      </c>
      <c r="E52" s="4" t="s">
        <v>445</v>
      </c>
      <c r="F52" s="4" t="s">
        <v>359</v>
      </c>
      <c r="G52" s="4" t="s">
        <v>446</v>
      </c>
      <c r="H52" s="13">
        <v>45000</v>
      </c>
      <c r="I52" s="4" t="s">
        <v>447</v>
      </c>
      <c r="J52" s="4" t="s">
        <v>362</v>
      </c>
      <c r="K52" s="4" t="s">
        <v>448</v>
      </c>
      <c r="L52" s="2"/>
      <c r="M52" s="2" t="s">
        <v>449</v>
      </c>
      <c r="N52" s="2" t="s">
        <v>35</v>
      </c>
      <c r="O52" s="2" t="s">
        <v>230</v>
      </c>
      <c r="P52" s="2" t="s">
        <v>37</v>
      </c>
      <c r="Q52" s="2"/>
      <c r="R52" s="2" t="s">
        <v>38</v>
      </c>
      <c r="S52" s="2" t="s">
        <v>39</v>
      </c>
      <c r="T52" s="2"/>
      <c r="U52" s="2" t="s">
        <v>449</v>
      </c>
      <c r="V52" s="2" t="s">
        <v>40</v>
      </c>
      <c r="W52" s="2"/>
      <c r="X52" s="2" t="s">
        <v>41</v>
      </c>
      <c r="Y52" s="14" t="s">
        <v>42</v>
      </c>
    </row>
    <row r="53" spans="1:25" ht="26.45" customHeight="1">
      <c r="A53" s="4">
        <v>52</v>
      </c>
      <c r="B53" s="4" t="s">
        <v>221</v>
      </c>
      <c r="C53" s="4" t="s">
        <v>450</v>
      </c>
      <c r="D53" s="4" t="s">
        <v>451</v>
      </c>
      <c r="E53" s="4" t="s">
        <v>452</v>
      </c>
      <c r="F53" s="4" t="s">
        <v>239</v>
      </c>
      <c r="G53" s="4" t="s">
        <v>453</v>
      </c>
      <c r="H53" s="13">
        <v>40000</v>
      </c>
      <c r="I53" s="4" t="s">
        <v>454</v>
      </c>
      <c r="J53" s="4" t="s">
        <v>370</v>
      </c>
      <c r="K53" s="4" t="s">
        <v>455</v>
      </c>
      <c r="L53" s="2"/>
      <c r="M53" s="2" t="s">
        <v>456</v>
      </c>
      <c r="N53" s="2" t="s">
        <v>35</v>
      </c>
      <c r="O53" s="2" t="s">
        <v>230</v>
      </c>
      <c r="P53" s="2" t="s">
        <v>37</v>
      </c>
      <c r="Q53" s="2"/>
      <c r="R53" s="2" t="s">
        <v>38</v>
      </c>
      <c r="S53" s="2" t="s">
        <v>39</v>
      </c>
      <c r="T53" s="2"/>
      <c r="U53" s="2" t="s">
        <v>456</v>
      </c>
      <c r="V53" s="2" t="s">
        <v>40</v>
      </c>
      <c r="W53" s="2"/>
      <c r="X53" s="2" t="s">
        <v>41</v>
      </c>
      <c r="Y53" s="14" t="s">
        <v>42</v>
      </c>
    </row>
    <row r="54" spans="1:25" ht="26.45" customHeight="1">
      <c r="A54" s="4">
        <v>53</v>
      </c>
      <c r="B54" s="4" t="s">
        <v>221</v>
      </c>
      <c r="C54" s="4" t="s">
        <v>457</v>
      </c>
      <c r="D54" s="4" t="s">
        <v>458</v>
      </c>
      <c r="E54" s="4" t="s">
        <v>459</v>
      </c>
      <c r="F54" s="4" t="s">
        <v>359</v>
      </c>
      <c r="G54" s="4" t="s">
        <v>460</v>
      </c>
      <c r="H54" s="13">
        <v>22000</v>
      </c>
      <c r="I54" s="4" t="s">
        <v>392</v>
      </c>
      <c r="J54" s="4" t="s">
        <v>461</v>
      </c>
      <c r="K54" s="4" t="s">
        <v>462</v>
      </c>
      <c r="L54" s="2"/>
      <c r="M54" s="2" t="s">
        <v>463</v>
      </c>
      <c r="N54" s="2" t="s">
        <v>35</v>
      </c>
      <c r="O54" s="2" t="s">
        <v>230</v>
      </c>
      <c r="P54" s="2" t="s">
        <v>37</v>
      </c>
      <c r="Q54" s="2"/>
      <c r="R54" s="2" t="s">
        <v>231</v>
      </c>
      <c r="S54" s="2" t="s">
        <v>464</v>
      </c>
      <c r="T54" s="2" t="s">
        <v>465</v>
      </c>
      <c r="U54" s="2" t="s">
        <v>463</v>
      </c>
      <c r="V54" s="2" t="s">
        <v>40</v>
      </c>
      <c r="W54" s="2"/>
      <c r="X54" s="2" t="s">
        <v>41</v>
      </c>
      <c r="Y54" s="14" t="s">
        <v>42</v>
      </c>
    </row>
    <row r="55" spans="1:25" ht="26.45" customHeight="1">
      <c r="A55" s="4">
        <v>54</v>
      </c>
      <c r="B55" s="4" t="s">
        <v>221</v>
      </c>
      <c r="C55" s="4" t="s">
        <v>466</v>
      </c>
      <c r="D55" s="4" t="s">
        <v>467</v>
      </c>
      <c r="E55" s="4" t="s">
        <v>468</v>
      </c>
      <c r="F55" s="4" t="s">
        <v>469</v>
      </c>
      <c r="G55" s="4" t="s">
        <v>470</v>
      </c>
      <c r="H55" s="13">
        <v>25000</v>
      </c>
      <c r="I55" s="4" t="s">
        <v>410</v>
      </c>
      <c r="J55" s="4" t="s">
        <v>471</v>
      </c>
      <c r="K55" s="4" t="s">
        <v>472</v>
      </c>
      <c r="L55" s="2"/>
      <c r="M55" s="2" t="s">
        <v>473</v>
      </c>
      <c r="N55" s="2" t="s">
        <v>35</v>
      </c>
      <c r="O55" s="2" t="s">
        <v>230</v>
      </c>
      <c r="P55" s="2" t="s">
        <v>37</v>
      </c>
      <c r="Q55" s="2"/>
      <c r="R55" s="2" t="s">
        <v>38</v>
      </c>
      <c r="S55" s="2" t="s">
        <v>39</v>
      </c>
      <c r="T55" s="2"/>
      <c r="U55" s="2" t="s">
        <v>473</v>
      </c>
      <c r="V55" s="2" t="s">
        <v>40</v>
      </c>
      <c r="W55" s="2"/>
      <c r="X55" s="2" t="s">
        <v>41</v>
      </c>
      <c r="Y55" s="14" t="s">
        <v>42</v>
      </c>
    </row>
    <row r="56" spans="1:25" ht="26.45" customHeight="1">
      <c r="A56" s="4">
        <v>55</v>
      </c>
      <c r="B56" s="4" t="s">
        <v>221</v>
      </c>
      <c r="C56" s="4" t="s">
        <v>474</v>
      </c>
      <c r="D56" s="4" t="s">
        <v>475</v>
      </c>
      <c r="E56" s="4" t="s">
        <v>476</v>
      </c>
      <c r="F56" s="4" t="s">
        <v>207</v>
      </c>
      <c r="G56" s="4" t="s">
        <v>477</v>
      </c>
      <c r="H56" s="13">
        <v>30000</v>
      </c>
      <c r="I56" s="4" t="s">
        <v>478</v>
      </c>
      <c r="J56" s="4" t="s">
        <v>479</v>
      </c>
      <c r="K56" s="4" t="s">
        <v>480</v>
      </c>
      <c r="L56" s="2"/>
      <c r="M56" s="2" t="s">
        <v>481</v>
      </c>
      <c r="N56" s="2" t="s">
        <v>35</v>
      </c>
      <c r="O56" s="2" t="s">
        <v>230</v>
      </c>
      <c r="P56" s="2" t="s">
        <v>37</v>
      </c>
      <c r="Q56" s="2"/>
      <c r="R56" s="2" t="s">
        <v>244</v>
      </c>
      <c r="S56" s="2" t="s">
        <v>482</v>
      </c>
      <c r="T56" s="2" t="s">
        <v>483</v>
      </c>
      <c r="U56" s="2" t="s">
        <v>481</v>
      </c>
      <c r="V56" s="2" t="s">
        <v>40</v>
      </c>
      <c r="W56" s="2"/>
      <c r="X56" s="2" t="s">
        <v>41</v>
      </c>
      <c r="Y56" s="14" t="s">
        <v>42</v>
      </c>
    </row>
    <row r="57" spans="1:25" ht="26.45" customHeight="1">
      <c r="A57" s="4">
        <v>56</v>
      </c>
      <c r="B57" s="4" t="s">
        <v>221</v>
      </c>
      <c r="C57" s="4" t="s">
        <v>484</v>
      </c>
      <c r="D57" s="4" t="s">
        <v>485</v>
      </c>
      <c r="E57" s="4" t="s">
        <v>486</v>
      </c>
      <c r="F57" s="4" t="s">
        <v>359</v>
      </c>
      <c r="G57" s="4" t="s">
        <v>487</v>
      </c>
      <c r="H57" s="13">
        <v>25000</v>
      </c>
      <c r="I57" s="4" t="s">
        <v>410</v>
      </c>
      <c r="J57" s="4" t="s">
        <v>461</v>
      </c>
      <c r="K57" s="4" t="s">
        <v>488</v>
      </c>
      <c r="L57" s="2"/>
      <c r="M57" s="2" t="s">
        <v>489</v>
      </c>
      <c r="N57" s="2" t="s">
        <v>35</v>
      </c>
      <c r="O57" s="2" t="s">
        <v>230</v>
      </c>
      <c r="P57" s="2" t="s">
        <v>37</v>
      </c>
      <c r="Q57" s="2"/>
      <c r="R57" s="2" t="s">
        <v>244</v>
      </c>
      <c r="S57" s="2" t="s">
        <v>490</v>
      </c>
      <c r="T57" s="2" t="s">
        <v>491</v>
      </c>
      <c r="U57" s="2" t="s">
        <v>489</v>
      </c>
      <c r="V57" s="2" t="s">
        <v>40</v>
      </c>
      <c r="W57" s="2" t="s">
        <v>491</v>
      </c>
      <c r="X57" s="2" t="s">
        <v>492</v>
      </c>
      <c r="Y57" s="14" t="s">
        <v>42</v>
      </c>
    </row>
    <row r="58" spans="1:25" ht="26.45" customHeight="1">
      <c r="A58" s="4">
        <v>57</v>
      </c>
      <c r="B58" s="4" t="s">
        <v>221</v>
      </c>
      <c r="C58" s="4" t="s">
        <v>493</v>
      </c>
      <c r="D58" s="4" t="s">
        <v>494</v>
      </c>
      <c r="E58" s="4" t="s">
        <v>495</v>
      </c>
      <c r="F58" s="4" t="s">
        <v>29</v>
      </c>
      <c r="G58" s="4" t="s">
        <v>496</v>
      </c>
      <c r="H58" s="13">
        <v>30000</v>
      </c>
      <c r="I58" s="4" t="s">
        <v>279</v>
      </c>
      <c r="J58" s="4" t="s">
        <v>161</v>
      </c>
      <c r="K58" s="4" t="s">
        <v>497</v>
      </c>
      <c r="L58" s="2" t="s">
        <v>498</v>
      </c>
      <c r="M58" s="2"/>
      <c r="N58" s="2" t="s">
        <v>217</v>
      </c>
      <c r="O58" s="2" t="s">
        <v>497</v>
      </c>
      <c r="P58" s="2" t="s">
        <v>218</v>
      </c>
      <c r="Q58" s="2" t="s">
        <v>498</v>
      </c>
      <c r="R58" s="2" t="s">
        <v>38</v>
      </c>
      <c r="S58" s="2" t="s">
        <v>39</v>
      </c>
      <c r="T58" s="2"/>
      <c r="U58" s="2"/>
      <c r="V58" s="2" t="s">
        <v>220</v>
      </c>
      <c r="W58" s="2"/>
      <c r="X58" s="2" t="s">
        <v>41</v>
      </c>
      <c r="Y58" s="14" t="s">
        <v>42</v>
      </c>
    </row>
    <row r="59" spans="1:25" ht="26.45" customHeight="1">
      <c r="A59" s="4">
        <v>58</v>
      </c>
      <c r="B59" s="4" t="s">
        <v>221</v>
      </c>
      <c r="C59" s="4" t="s">
        <v>499</v>
      </c>
      <c r="D59" s="4" t="s">
        <v>500</v>
      </c>
      <c r="E59" s="4" t="s">
        <v>501</v>
      </c>
      <c r="F59" s="4" t="s">
        <v>89</v>
      </c>
      <c r="G59" s="4" t="s">
        <v>502</v>
      </c>
      <c r="H59" s="13">
        <v>55000</v>
      </c>
      <c r="I59" s="4" t="s">
        <v>361</v>
      </c>
      <c r="J59" s="4" t="s">
        <v>503</v>
      </c>
      <c r="K59" s="4" t="s">
        <v>504</v>
      </c>
      <c r="L59" s="2"/>
      <c r="M59" s="2" t="s">
        <v>505</v>
      </c>
      <c r="N59" s="2" t="s">
        <v>35</v>
      </c>
      <c r="O59" s="2" t="s">
        <v>230</v>
      </c>
      <c r="P59" s="2" t="s">
        <v>37</v>
      </c>
      <c r="Q59" s="2"/>
      <c r="R59" s="2" t="s">
        <v>38</v>
      </c>
      <c r="S59" s="2" t="s">
        <v>39</v>
      </c>
      <c r="T59" s="2"/>
      <c r="U59" s="2" t="s">
        <v>505</v>
      </c>
      <c r="V59" s="2" t="s">
        <v>40</v>
      </c>
      <c r="W59" s="2"/>
      <c r="X59" s="2" t="s">
        <v>41</v>
      </c>
      <c r="Y59" s="14" t="s">
        <v>42</v>
      </c>
    </row>
    <row r="60" spans="1:25" ht="26.45" customHeight="1">
      <c r="A60" s="4">
        <v>59</v>
      </c>
      <c r="B60" s="4" t="s">
        <v>506</v>
      </c>
      <c r="C60" s="4" t="s">
        <v>507</v>
      </c>
      <c r="D60" s="4" t="s">
        <v>508</v>
      </c>
      <c r="E60" s="4" t="s">
        <v>509</v>
      </c>
      <c r="F60" s="4" t="s">
        <v>135</v>
      </c>
      <c r="G60" s="4" t="s">
        <v>510</v>
      </c>
      <c r="H60" s="13">
        <v>50000</v>
      </c>
      <c r="I60" s="4" t="s">
        <v>439</v>
      </c>
      <c r="J60" s="4" t="s">
        <v>511</v>
      </c>
      <c r="K60" s="4" t="s">
        <v>512</v>
      </c>
      <c r="L60" s="2"/>
      <c r="M60" s="2" t="s">
        <v>513</v>
      </c>
      <c r="N60" s="2" t="s">
        <v>35</v>
      </c>
      <c r="O60" s="2" t="s">
        <v>514</v>
      </c>
      <c r="P60" s="2" t="s">
        <v>37</v>
      </c>
      <c r="Q60" s="2"/>
      <c r="R60" s="2" t="s">
        <v>515</v>
      </c>
      <c r="S60" s="2" t="s">
        <v>516</v>
      </c>
      <c r="T60" s="2" t="s">
        <v>517</v>
      </c>
      <c r="U60" s="2" t="s">
        <v>513</v>
      </c>
      <c r="V60" s="2" t="s">
        <v>40</v>
      </c>
      <c r="W60" s="2" t="s">
        <v>518</v>
      </c>
      <c r="X60" s="2" t="s">
        <v>303</v>
      </c>
      <c r="Y60" s="14" t="s">
        <v>42</v>
      </c>
    </row>
    <row r="61" spans="1:25" ht="26.45" customHeight="1">
      <c r="A61" s="4">
        <v>60</v>
      </c>
      <c r="B61" s="4" t="s">
        <v>506</v>
      </c>
      <c r="C61" s="4" t="s">
        <v>519</v>
      </c>
      <c r="D61" s="4" t="s">
        <v>520</v>
      </c>
      <c r="E61" s="4" t="s">
        <v>521</v>
      </c>
      <c r="F61" s="4" t="s">
        <v>239</v>
      </c>
      <c r="G61" s="4" t="s">
        <v>522</v>
      </c>
      <c r="H61" s="13">
        <v>50000</v>
      </c>
      <c r="I61" s="4" t="s">
        <v>439</v>
      </c>
      <c r="J61" s="4" t="s">
        <v>523</v>
      </c>
      <c r="K61" s="4" t="s">
        <v>524</v>
      </c>
      <c r="L61" s="2"/>
      <c r="M61" s="2" t="s">
        <v>525</v>
      </c>
      <c r="N61" s="2" t="s">
        <v>35</v>
      </c>
      <c r="O61" s="2" t="s">
        <v>514</v>
      </c>
      <c r="P61" s="2" t="s">
        <v>37</v>
      </c>
      <c r="Q61" s="2"/>
      <c r="R61" s="2" t="s">
        <v>38</v>
      </c>
      <c r="S61" s="2" t="s">
        <v>39</v>
      </c>
      <c r="T61" s="2"/>
      <c r="U61" s="2" t="s">
        <v>525</v>
      </c>
      <c r="V61" s="2" t="s">
        <v>40</v>
      </c>
      <c r="W61" s="2"/>
      <c r="X61" s="2" t="s">
        <v>41</v>
      </c>
      <c r="Y61" s="14" t="s">
        <v>42</v>
      </c>
    </row>
    <row r="62" spans="1:25" ht="26.45" customHeight="1">
      <c r="A62" s="4">
        <v>61</v>
      </c>
      <c r="B62" s="4" t="s">
        <v>506</v>
      </c>
      <c r="C62" s="4" t="s">
        <v>526</v>
      </c>
      <c r="D62" s="4" t="s">
        <v>527</v>
      </c>
      <c r="E62" s="4" t="s">
        <v>528</v>
      </c>
      <c r="F62" s="4" t="s">
        <v>239</v>
      </c>
      <c r="G62" s="4" t="s">
        <v>529</v>
      </c>
      <c r="H62" s="13">
        <v>40000</v>
      </c>
      <c r="I62" s="4" t="s">
        <v>530</v>
      </c>
      <c r="J62" s="4" t="s">
        <v>531</v>
      </c>
      <c r="K62" s="4" t="s">
        <v>532</v>
      </c>
      <c r="L62" s="2"/>
      <c r="M62" s="2" t="s">
        <v>533</v>
      </c>
      <c r="N62" s="2" t="s">
        <v>35</v>
      </c>
      <c r="O62" s="2" t="s">
        <v>514</v>
      </c>
      <c r="P62" s="2" t="s">
        <v>37</v>
      </c>
      <c r="Q62" s="2"/>
      <c r="R62" s="2" t="s">
        <v>38</v>
      </c>
      <c r="S62" s="2" t="s">
        <v>39</v>
      </c>
      <c r="T62" s="2"/>
      <c r="U62" s="2" t="s">
        <v>533</v>
      </c>
      <c r="V62" s="2" t="s">
        <v>40</v>
      </c>
      <c r="W62" s="2"/>
      <c r="X62" s="2" t="s">
        <v>41</v>
      </c>
      <c r="Y62" s="14" t="s">
        <v>42</v>
      </c>
    </row>
    <row r="63" spans="1:25" ht="26.45" customHeight="1">
      <c r="A63" s="4">
        <v>62</v>
      </c>
      <c r="B63" s="4" t="s">
        <v>506</v>
      </c>
      <c r="C63" s="4" t="s">
        <v>534</v>
      </c>
      <c r="D63" s="4" t="s">
        <v>535</v>
      </c>
      <c r="E63" s="4" t="s">
        <v>536</v>
      </c>
      <c r="F63" s="4" t="s">
        <v>135</v>
      </c>
      <c r="G63" s="4" t="s">
        <v>537</v>
      </c>
      <c r="H63" s="13">
        <v>45000</v>
      </c>
      <c r="I63" s="4" t="s">
        <v>308</v>
      </c>
      <c r="J63" s="4" t="s">
        <v>538</v>
      </c>
      <c r="K63" s="4" t="s">
        <v>539</v>
      </c>
      <c r="L63" s="2"/>
      <c r="M63" s="2" t="s">
        <v>540</v>
      </c>
      <c r="N63" s="2" t="s">
        <v>35</v>
      </c>
      <c r="O63" s="2" t="s">
        <v>514</v>
      </c>
      <c r="P63" s="2" t="s">
        <v>37</v>
      </c>
      <c r="Q63" s="2"/>
      <c r="R63" s="2" t="s">
        <v>38</v>
      </c>
      <c r="S63" s="2" t="s">
        <v>39</v>
      </c>
      <c r="T63" s="2"/>
      <c r="U63" s="2" t="s">
        <v>540</v>
      </c>
      <c r="V63" s="2" t="s">
        <v>40</v>
      </c>
      <c r="W63" s="2"/>
      <c r="X63" s="2" t="s">
        <v>41</v>
      </c>
      <c r="Y63" s="14" t="s">
        <v>42</v>
      </c>
    </row>
    <row r="64" spans="1:25" ht="26.45" customHeight="1">
      <c r="A64" s="4">
        <v>63</v>
      </c>
      <c r="B64" s="4" t="s">
        <v>506</v>
      </c>
      <c r="C64" s="4" t="s">
        <v>541</v>
      </c>
      <c r="D64" s="4" t="s">
        <v>542</v>
      </c>
      <c r="E64" s="4" t="s">
        <v>543</v>
      </c>
      <c r="F64" s="4" t="s">
        <v>135</v>
      </c>
      <c r="G64" s="4" t="s">
        <v>544</v>
      </c>
      <c r="H64" s="13">
        <v>50000</v>
      </c>
      <c r="I64" s="4" t="s">
        <v>439</v>
      </c>
      <c r="J64" s="4" t="s">
        <v>511</v>
      </c>
      <c r="K64" s="4" t="s">
        <v>545</v>
      </c>
      <c r="L64" s="2"/>
      <c r="M64" s="2" t="s">
        <v>546</v>
      </c>
      <c r="N64" s="2" t="s">
        <v>35</v>
      </c>
      <c r="O64" s="2" t="s">
        <v>514</v>
      </c>
      <c r="P64" s="2" t="s">
        <v>37</v>
      </c>
      <c r="Q64" s="2"/>
      <c r="R64" s="2" t="s">
        <v>38</v>
      </c>
      <c r="S64" s="2" t="s">
        <v>39</v>
      </c>
      <c r="T64" s="2"/>
      <c r="U64" s="2" t="s">
        <v>546</v>
      </c>
      <c r="V64" s="2" t="s">
        <v>40</v>
      </c>
      <c r="W64" s="2"/>
      <c r="X64" s="2" t="s">
        <v>41</v>
      </c>
      <c r="Y64" s="14" t="s">
        <v>42</v>
      </c>
    </row>
    <row r="65" spans="1:25" ht="26.45" customHeight="1">
      <c r="A65" s="4">
        <v>64</v>
      </c>
      <c r="B65" s="4" t="s">
        <v>506</v>
      </c>
      <c r="C65" s="4" t="s">
        <v>547</v>
      </c>
      <c r="D65" s="4" t="s">
        <v>548</v>
      </c>
      <c r="E65" s="4" t="s">
        <v>549</v>
      </c>
      <c r="F65" s="4" t="s">
        <v>135</v>
      </c>
      <c r="G65" s="4" t="s">
        <v>550</v>
      </c>
      <c r="H65" s="13">
        <v>40000</v>
      </c>
      <c r="I65" s="4" t="s">
        <v>530</v>
      </c>
      <c r="J65" s="4" t="s">
        <v>551</v>
      </c>
      <c r="K65" s="4" t="s">
        <v>552</v>
      </c>
      <c r="L65" s="2"/>
      <c r="M65" s="2" t="s">
        <v>553</v>
      </c>
      <c r="N65" s="2" t="s">
        <v>35</v>
      </c>
      <c r="O65" s="2" t="s">
        <v>514</v>
      </c>
      <c r="P65" s="2" t="s">
        <v>37</v>
      </c>
      <c r="Q65" s="2"/>
      <c r="R65" s="2" t="s">
        <v>38</v>
      </c>
      <c r="S65" s="2" t="s">
        <v>39</v>
      </c>
      <c r="T65" s="2"/>
      <c r="U65" s="2" t="s">
        <v>553</v>
      </c>
      <c r="V65" s="2" t="s">
        <v>40</v>
      </c>
      <c r="W65" s="2"/>
      <c r="X65" s="2" t="s">
        <v>41</v>
      </c>
      <c r="Y65" s="14" t="s">
        <v>42</v>
      </c>
    </row>
    <row r="66" spans="1:25" ht="39.6" customHeight="1">
      <c r="A66" s="4">
        <v>65</v>
      </c>
      <c r="B66" s="4" t="s">
        <v>506</v>
      </c>
      <c r="C66" s="4" t="s">
        <v>554</v>
      </c>
      <c r="D66" s="4" t="s">
        <v>555</v>
      </c>
      <c r="E66" s="4" t="s">
        <v>556</v>
      </c>
      <c r="F66" s="4" t="s">
        <v>135</v>
      </c>
      <c r="G66" s="4" t="s">
        <v>557</v>
      </c>
      <c r="H66" s="13">
        <v>45000</v>
      </c>
      <c r="I66" s="4" t="s">
        <v>447</v>
      </c>
      <c r="J66" s="4" t="s">
        <v>558</v>
      </c>
      <c r="K66" s="4" t="s">
        <v>559</v>
      </c>
      <c r="L66" s="2" t="s">
        <v>559</v>
      </c>
      <c r="M66" s="2" t="s">
        <v>560</v>
      </c>
      <c r="N66" s="2" t="s">
        <v>35</v>
      </c>
      <c r="O66" s="2" t="s">
        <v>514</v>
      </c>
      <c r="P66" s="2" t="s">
        <v>37</v>
      </c>
      <c r="Q66" s="2"/>
      <c r="R66" s="2" t="s">
        <v>38</v>
      </c>
      <c r="S66" s="2" t="s">
        <v>39</v>
      </c>
      <c r="T66" s="2"/>
      <c r="U66" s="2" t="s">
        <v>560</v>
      </c>
      <c r="V66" s="2" t="s">
        <v>40</v>
      </c>
      <c r="W66" s="2"/>
      <c r="X66" s="2" t="s">
        <v>41</v>
      </c>
      <c r="Y66" s="14" t="s">
        <v>42</v>
      </c>
    </row>
    <row r="67" spans="1: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</sheetData>
  <conditionalFormatting sqref="H2:H66">
    <cfRule type="dataBar" priority="1">
      <dataBar>
        <cfvo type="min"/>
        <cfvo type="max"/>
        <color rgb="FFB08968"/>
      </dataBar>
    </cfRule>
    <cfRule type="dataBar" priority="6">
      <dataBar>
        <cfvo type="min"/>
        <cfvo type="max"/>
        <color rgb="FFB08968"/>
      </dataBar>
      <extLst>
        <ext xmlns:x14="http://schemas.microsoft.com/office/spreadsheetml/2009/9/main" uri="{B025F937-C7B1-47D3-B67F-A62EFF666E3E}">
          <x14:id>{54D68C25-DFB2-E941-C939-F717E561892F}</x14:id>
        </ext>
      </extLst>
    </cfRule>
  </conditionalFormatting>
  <conditionalFormatting sqref="M2:M66">
    <cfRule type="expression" dxfId="3" priority="2">
      <formula>LEN($M2)=0</formula>
    </cfRule>
  </conditionalFormatting>
  <conditionalFormatting sqref="R2:R66">
    <cfRule type="expression" dxfId="2" priority="3">
      <formula>LEFT(R2,2)="Sí"</formula>
    </cfRule>
    <cfRule type="expression" dxfId="1" priority="4">
      <formula>R2="Verificar"</formula>
    </cfRule>
    <cfRule type="expression" dxfId="0" priority="5">
      <formula>R2="No verificado"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D68C25-DFB2-E941-C939-F717E561892F}">
            <x14:dataBar>
              <x14:cfvo type="min"/>
              <x14:cfvo type="max"/>
              <x14:negativeFillColor auto="1"/>
              <x14:axisColor auto="1"/>
            </x14:dataBar>
          </x14:cfRule>
          <xm:sqref>H2:H66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/>
  </sheetViews>
  <sheetFormatPr baseColWidth="10" defaultColWidth="9" defaultRowHeight="14.25"/>
  <cols>
    <col min="1" max="1" width="28" customWidth="1"/>
    <col min="2" max="2" width="32" customWidth="1"/>
    <col min="3" max="3" width="24" customWidth="1"/>
    <col min="4" max="4" width="45" customWidth="1"/>
    <col min="6" max="6" width="24" customWidth="1"/>
    <col min="7" max="7" width="60" customWidth="1"/>
  </cols>
  <sheetData>
    <row r="1" spans="1:11" ht="19.149999999999999" customHeight="1">
      <c r="A1" s="17" t="s">
        <v>561</v>
      </c>
      <c r="B1" s="18"/>
      <c r="C1" s="18"/>
      <c r="D1" s="18"/>
      <c r="E1" s="5"/>
      <c r="F1" s="10" t="s">
        <v>562</v>
      </c>
      <c r="G1" s="10"/>
      <c r="H1" s="5"/>
      <c r="I1" s="5"/>
      <c r="J1" s="5"/>
      <c r="K1" s="5"/>
    </row>
    <row r="2" spans="1:11" ht="15" customHeight="1">
      <c r="A2" s="6" t="s">
        <v>563</v>
      </c>
      <c r="B2" s="6" t="s">
        <v>42</v>
      </c>
      <c r="C2" s="6"/>
      <c r="D2" s="6"/>
      <c r="E2" s="5"/>
      <c r="F2" s="6" t="s">
        <v>564</v>
      </c>
      <c r="G2" s="6">
        <v>65</v>
      </c>
      <c r="H2" s="5"/>
      <c r="I2" s="5"/>
      <c r="J2" s="5"/>
      <c r="K2" s="5"/>
    </row>
    <row r="3" spans="1:11" ht="52.7" customHeight="1">
      <c r="A3" s="6" t="s">
        <v>565</v>
      </c>
      <c r="B3" s="6" t="s">
        <v>566</v>
      </c>
      <c r="C3" s="6"/>
      <c r="D3" s="6"/>
      <c r="E3" s="5"/>
      <c r="F3" s="6" t="s">
        <v>567</v>
      </c>
      <c r="G3" s="6">
        <v>62</v>
      </c>
      <c r="H3" s="5"/>
      <c r="I3" s="5"/>
      <c r="J3" s="5"/>
      <c r="K3" s="5"/>
    </row>
    <row r="4" spans="1:11" ht="52.7" customHeight="1">
      <c r="A4" s="6" t="s">
        <v>568</v>
      </c>
      <c r="B4" s="6" t="s">
        <v>569</v>
      </c>
      <c r="C4" s="6"/>
      <c r="D4" s="6"/>
      <c r="E4" s="5"/>
      <c r="F4" s="6" t="s">
        <v>570</v>
      </c>
      <c r="G4" s="6">
        <v>3</v>
      </c>
      <c r="H4" s="5"/>
      <c r="I4" s="5"/>
      <c r="J4" s="5"/>
      <c r="K4" s="5"/>
    </row>
    <row r="5" spans="1:11" ht="15" customHeight="1">
      <c r="A5" s="6"/>
      <c r="B5" s="6"/>
      <c r="C5" s="6"/>
      <c r="D5" s="6"/>
      <c r="E5" s="5"/>
      <c r="F5" s="6" t="s">
        <v>571</v>
      </c>
      <c r="G5" s="6" t="s">
        <v>572</v>
      </c>
      <c r="H5" s="5"/>
      <c r="I5" s="5"/>
      <c r="J5" s="5"/>
      <c r="K5" s="5"/>
    </row>
    <row r="6" spans="1:11" ht="15" customHeight="1">
      <c r="A6" s="3" t="s">
        <v>1</v>
      </c>
      <c r="B6" s="3" t="s">
        <v>573</v>
      </c>
      <c r="C6" s="3" t="s">
        <v>574</v>
      </c>
      <c r="D6" s="3" t="s">
        <v>575</v>
      </c>
      <c r="E6" s="5"/>
      <c r="F6" s="5"/>
      <c r="G6" s="5"/>
      <c r="H6" s="5"/>
      <c r="I6" s="5"/>
      <c r="J6" s="5"/>
      <c r="K6" s="5"/>
    </row>
    <row r="7" spans="1:11" ht="15" customHeight="1">
      <c r="A7" s="6" t="s">
        <v>25</v>
      </c>
      <c r="B7" s="6">
        <f>COUNTIF(Establecimientos!B:B,"Galerías y talleres")</f>
        <v>25</v>
      </c>
      <c r="C7" s="7">
        <f>AVERAGEIF(Establecimientos!B:B,"Galerías y talleres",Establecimientos!H:H)</f>
        <v>14000</v>
      </c>
      <c r="D7" s="6" t="s">
        <v>576</v>
      </c>
      <c r="E7" s="5"/>
      <c r="F7" s="5"/>
      <c r="G7" s="5"/>
      <c r="H7" s="5"/>
      <c r="I7" s="5"/>
      <c r="J7" s="5"/>
      <c r="K7" s="5"/>
    </row>
    <row r="8" spans="1:11" ht="15" customHeight="1">
      <c r="A8" s="6" t="s">
        <v>221</v>
      </c>
      <c r="B8" s="6">
        <f>COUNTIF(Establecimientos!B:B,"Donde Comer")</f>
        <v>33</v>
      </c>
      <c r="C8" s="7">
        <f>AVERAGEIF(Establecimientos!B:B,"Donde Comer",Establecimientos!H:H)</f>
        <v>35757.57575757576</v>
      </c>
      <c r="D8" s="6" t="s">
        <v>577</v>
      </c>
      <c r="E8" s="5"/>
      <c r="F8" s="5"/>
      <c r="G8" s="5"/>
      <c r="H8" s="5"/>
      <c r="I8" s="5"/>
      <c r="J8" s="5"/>
      <c r="K8" s="5"/>
    </row>
    <row r="9" spans="1:11" ht="15" customHeight="1">
      <c r="A9" s="6" t="s">
        <v>506</v>
      </c>
      <c r="B9" s="6">
        <f>COUNTIF(Establecimientos!B:B,"Entretenimiento")</f>
        <v>7</v>
      </c>
      <c r="C9" s="7">
        <f>AVERAGEIF(Establecimientos!B:B,"Entretenimiento",Establecimientos!H:H)</f>
        <v>45714.285714285717</v>
      </c>
      <c r="D9" s="6" t="s">
        <v>578</v>
      </c>
      <c r="E9" s="5"/>
      <c r="F9" s="5"/>
      <c r="G9" s="5"/>
      <c r="H9" s="5"/>
      <c r="I9" s="5"/>
      <c r="J9" s="5"/>
      <c r="K9" s="5"/>
    </row>
    <row r="10" spans="1:11" ht="15" customHeight="1">
      <c r="A10" s="6" t="s">
        <v>579</v>
      </c>
      <c r="B10" s="6">
        <f>COUNTA(Establecimientos!A2:A66)</f>
        <v>65</v>
      </c>
      <c r="C10" s="7">
        <f>AVERAGE(Establecimientos!H2:H66)</f>
        <v>28461.538461538461</v>
      </c>
      <c r="D10" s="6" t="s">
        <v>580</v>
      </c>
      <c r="E10" s="5"/>
      <c r="F10" s="5"/>
      <c r="G10" s="5"/>
      <c r="H10" s="5"/>
      <c r="I10" s="5"/>
      <c r="J10" s="5"/>
      <c r="K10" s="5"/>
    </row>
    <row r="11" spans="1:11" ht="15" customHeight="1">
      <c r="A11" s="6"/>
      <c r="B11" s="6"/>
      <c r="C11" s="6"/>
      <c r="D11" s="6"/>
      <c r="E11" s="5"/>
      <c r="F11" s="5"/>
      <c r="G11" s="5"/>
      <c r="H11" s="5"/>
      <c r="I11" s="5"/>
      <c r="J11" s="5"/>
      <c r="K11" s="5"/>
    </row>
    <row r="12" spans="1:11" ht="26.45" customHeight="1">
      <c r="A12" s="6" t="s">
        <v>581</v>
      </c>
      <c r="B12" s="6" t="s">
        <v>582</v>
      </c>
      <c r="C12" s="6"/>
      <c r="D12" s="6"/>
      <c r="E12" s="5"/>
      <c r="F12" s="5"/>
      <c r="G12" s="5"/>
      <c r="H12" s="5"/>
      <c r="I12" s="5"/>
      <c r="J12" s="5"/>
      <c r="K12" s="5"/>
    </row>
    <row r="13" spans="1:11" ht="26.45" customHeight="1">
      <c r="A13" s="6" t="s">
        <v>583</v>
      </c>
      <c r="B13" s="6" t="s">
        <v>584</v>
      </c>
      <c r="C13" s="6"/>
      <c r="D13" s="6"/>
      <c r="E13" s="5"/>
      <c r="F13" s="5"/>
      <c r="G13" s="5"/>
      <c r="H13" s="5"/>
      <c r="I13" s="5"/>
      <c r="J13" s="5"/>
      <c r="K13" s="5"/>
    </row>
    <row r="14" spans="1:11" ht="26.45" customHeight="1">
      <c r="A14" s="6" t="s">
        <v>585</v>
      </c>
      <c r="B14" s="6" t="s">
        <v>586</v>
      </c>
      <c r="C14" s="6"/>
      <c r="D14" s="6"/>
      <c r="E14" s="5"/>
      <c r="F14" s="5"/>
      <c r="G14" s="5"/>
      <c r="H14" s="5"/>
      <c r="I14" s="5"/>
      <c r="J14" s="5"/>
      <c r="K14" s="5"/>
    </row>
    <row r="15" spans="1:11" ht="26.45" customHeight="1">
      <c r="A15" s="6" t="s">
        <v>587</v>
      </c>
      <c r="B15" s="6" t="s">
        <v>588</v>
      </c>
      <c r="C15" s="6"/>
      <c r="D15" s="6"/>
      <c r="E15" s="5"/>
      <c r="F15" s="5"/>
      <c r="G15" s="5"/>
      <c r="H15" s="5"/>
      <c r="I15" s="5"/>
      <c r="J15" s="5"/>
      <c r="K15" s="5"/>
    </row>
    <row r="16" spans="1:11" ht="26.45" customHeight="1">
      <c r="A16" s="6" t="s">
        <v>589</v>
      </c>
      <c r="B16" s="6" t="s">
        <v>590</v>
      </c>
      <c r="C16" s="6"/>
      <c r="D16" s="6"/>
      <c r="E16" s="5"/>
      <c r="F16" s="5"/>
      <c r="G16" s="5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0"/>
  <sheetViews>
    <sheetView workbookViewId="0"/>
  </sheetViews>
  <sheetFormatPr baseColWidth="10" defaultColWidth="9" defaultRowHeight="14.25"/>
  <cols>
    <col min="1" max="1" width="105" customWidth="1"/>
  </cols>
  <sheetData>
    <row r="1" spans="1:11" ht="19.149999999999999" customHeight="1">
      <c r="A1" s="8" t="s">
        <v>591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6.45" customHeight="1">
      <c r="A2" s="6" t="s">
        <v>592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6.45" customHeight="1">
      <c r="A3" s="6" t="s">
        <v>593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5" customHeight="1">
      <c r="A4" s="6" t="s">
        <v>594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5" customHeight="1">
      <c r="A5" s="6" t="s">
        <v>595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5" customHeight="1">
      <c r="A6" s="6" t="s">
        <v>596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15" customHeight="1">
      <c r="A7" s="6" t="s">
        <v>597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15" customHeight="1">
      <c r="A8" s="6" t="s">
        <v>598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26.45" customHeight="1">
      <c r="A9" s="6" t="s">
        <v>599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ht="15" customHeight="1">
      <c r="A10" s="6" t="s">
        <v>565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15" customHeight="1">
      <c r="A11" s="6" t="s">
        <v>600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5" customHeight="1">
      <c r="A12" s="6" t="s">
        <v>36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5" customHeight="1">
      <c r="A13" s="6" t="s">
        <v>230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5" customHeight="1">
      <c r="A14" s="6" t="s">
        <v>601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9" defaultRowHeight="14.25"/>
  <cols>
    <col min="1" max="1" width="24" customWidth="1"/>
    <col min="2" max="2" width="90" customWidth="1"/>
  </cols>
  <sheetData>
    <row r="1" spans="1:2" ht="30">
      <c r="A1" s="9" t="s">
        <v>602</v>
      </c>
      <c r="B1" s="9"/>
    </row>
    <row r="2" spans="1:2">
      <c r="A2" s="1" t="s">
        <v>563</v>
      </c>
      <c r="B2" s="1" t="s">
        <v>42</v>
      </c>
    </row>
    <row r="3" spans="1:2">
      <c r="A3" s="1" t="s">
        <v>603</v>
      </c>
      <c r="B3" s="1" t="s">
        <v>604</v>
      </c>
    </row>
    <row r="4" spans="1:2" ht="28.5">
      <c r="A4" s="1" t="s">
        <v>605</v>
      </c>
      <c r="B4" s="1" t="s">
        <v>606</v>
      </c>
    </row>
    <row r="5" spans="1:2" ht="28.5">
      <c r="A5" s="1" t="s">
        <v>607</v>
      </c>
      <c r="B5" s="1" t="s">
        <v>608</v>
      </c>
    </row>
    <row r="6" spans="1:2" ht="28.5">
      <c r="A6" s="1" t="s">
        <v>609</v>
      </c>
      <c r="B6" s="1" t="s">
        <v>572</v>
      </c>
    </row>
    <row r="7" spans="1:2" ht="28.5">
      <c r="A7" s="1" t="s">
        <v>610</v>
      </c>
      <c r="B7" s="1" t="s">
        <v>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baseColWidth="10" defaultColWidth="9" defaultRowHeight="14.25"/>
  <cols>
    <col min="1" max="1" width="28" customWidth="1"/>
    <col min="2" max="2" width="90" customWidth="1"/>
  </cols>
  <sheetData>
    <row r="1" spans="1:2" ht="15">
      <c r="A1" s="15" t="s">
        <v>612</v>
      </c>
      <c r="B1" s="15" t="s">
        <v>613</v>
      </c>
    </row>
    <row r="2" spans="1:2">
      <c r="A2" s="16" t="s">
        <v>17</v>
      </c>
      <c r="B2" s="16" t="s">
        <v>614</v>
      </c>
    </row>
    <row r="3" spans="1:2">
      <c r="A3" s="16" t="s">
        <v>19</v>
      </c>
      <c r="B3" s="16" t="s">
        <v>615</v>
      </c>
    </row>
    <row r="4" spans="1:2">
      <c r="A4" s="16" t="s">
        <v>20</v>
      </c>
      <c r="B4" s="16" t="s">
        <v>616</v>
      </c>
    </row>
    <row r="5" spans="1:2">
      <c r="A5" s="16" t="s">
        <v>22</v>
      </c>
      <c r="B5" s="16" t="s">
        <v>617</v>
      </c>
    </row>
    <row r="6" spans="1:2">
      <c r="A6" s="16" t="s">
        <v>24</v>
      </c>
      <c r="B6" s="16" t="s">
        <v>42</v>
      </c>
    </row>
    <row r="7" spans="1:2">
      <c r="A7" s="16" t="s">
        <v>607</v>
      </c>
      <c r="B7" s="16" t="s">
        <v>618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Establecimientos</vt:lpstr>
      <vt:lpstr>Resumen</vt:lpstr>
      <vt:lpstr>Notas</vt:lpstr>
      <vt:lpstr>Notas imágenes</vt:lpstr>
      <vt:lpstr>Notas pet friendly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Andres Zuluaga Mora</cp:lastModifiedBy>
  <dcterms:modified xsi:type="dcterms:W3CDTF">2026-05-08T20:12:00Z</dcterms:modified>
</cp:coreProperties>
</file>